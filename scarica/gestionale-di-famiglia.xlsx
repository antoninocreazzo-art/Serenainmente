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izia da qui" sheetId="1" state="visible" r:id="rId3"/>
    <sheet name="Famiglia" sheetId="2" state="visible" r:id="rId4"/>
    <sheet name="Scadenze" sheetId="3" state="visible" r:id="rId5"/>
    <sheet name="Visite" sheetId="4" state="visible" r:id="rId6"/>
    <sheet name="Documenti" sheetId="5" state="visible" r:id="rId7"/>
    <sheet name="Settimana" sheetId="6" state="visible" r:id="rId8"/>
    <sheet name="Contatti" sheetId="7" state="visible" r:id="rId9"/>
    <sheet name="Prime volte" sheetId="8" state="visible" r:id="rId10"/>
    <sheet name="Calcoli" sheetId="9" state="hidden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<sst xmlns="http://schemas.openxmlformats.org/spreadsheetml/2006/main" count="219" uniqueCount="183">
  <si>
    <t xml:space="preserve">Il gestionale di famiglia</t>
  </si>
  <si>
    <t xml:space="preserve">di serenainmente.it · versione 2.0 · i tuoi dati restano sul tuo telefono, computer o Drive</t>
  </si>
  <si>
    <t xml:space="preserve">Oggi</t>
  </si>
  <si>
    <t xml:space="preserve">In breve</t>
  </si>
  <si>
    <t xml:space="preserve">scadenze nei prossimi 30 giorni</t>
  </si>
  <si>
    <t xml:space="preserve">visite nelle prossime due settimane</t>
  </si>
  <si>
    <t xml:space="preserve">documenti da rinnovare (scaduti o entro due mesi)</t>
  </si>
  <si>
    <t xml:space="preserve">scadenze passate e non ancora fatte</t>
  </si>
  <si>
    <t xml:space="preserve">ticket ancora da pagare</t>
  </si>
  <si>
    <t xml:space="preserve">Prossimi impegni</t>
  </si>
  <si>
    <t xml:space="preserve">Visite, scadenze e rinnovi, dal più vicino. Si aggiorna da solo.</t>
  </si>
  <si>
    <t xml:space="preserve">Quando</t>
  </si>
  <si>
    <t xml:space="preserve">Cosa</t>
  </si>
  <si>
    <t xml:space="preserve">Per chi</t>
  </si>
  <si>
    <t xml:space="preserve">Tra</t>
  </si>
  <si>
    <t xml:space="preserve">Da controllare</t>
  </si>
  <si>
    <t xml:space="preserve">Scadenze passate senza «Fatto» e documenti già scaduti, dalla più recente.</t>
  </si>
  <si>
    <t xml:space="preserve">Come si usa</t>
  </si>
  <si>
    <t xml:space="preserve">1. Famiglia</t>
  </si>
  <si>
    <t xml:space="preserve">Scrivi i nomi di casa una volta sola: compaiono nei menu di tutte le schede.</t>
  </si>
  <si>
    <t xml:space="preserve">2. Scadenze</t>
  </si>
  <si>
    <t xml:space="preserve">Tutto ciò che ha una data. Se si ripete, scegli «Ogni mese» o «Ogni anno»: la data si sposta da sola.</t>
  </si>
  <si>
    <t xml:space="preserve">3. Visite</t>
  </si>
  <si>
    <t xml:space="preserve">Data, per chi, dove. «Disdire entro» si calcola; segna «Completata» o «Annullata» e la visita esce dagli impegni.</t>
  </si>
  <si>
    <t xml:space="preserve">4. Documenti</t>
  </si>
  <si>
    <t xml:space="preserve">Dove sta ogni documento e quando scade: due mesi prima compare qui sopra.</t>
  </si>
  <si>
    <t xml:space="preserve">E poi</t>
  </si>
  <si>
    <t xml:space="preserve">Settimana, Contatti e Prime volte: da compilare quando vuoi.</t>
  </si>
  <si>
    <t xml:space="preserve">Legenda</t>
  </si>
  <si>
    <t xml:space="preserve">Testo blu</t>
  </si>
  <si>
    <t xml:space="preserve">Celle da compilare (le righe di esempio vanno cancellate)</t>
  </si>
  <si>
    <t xml:space="preserve">Testo nero</t>
  </si>
  <si>
    <t xml:space="preserve">Si calcola da solo: non scriverci sopra</t>
  </si>
  <si>
    <t xml:space="preserve">Il file non manda notifiche: ti mostra cosa arriva ogni volta che lo apri. Resta dove lo salvi tu (telefono, computer, OneDrive o Google Drive) e nessun dato arriva a Serena. Non è un archivio medico: scrivi solo quello che serve. Per vaccini e terapie il riferimento resta il pediatra o il medico.</t>
  </si>
  <si>
    <t xml:space="preserve">serenainmente.it/guide</t>
  </si>
  <si>
    <t xml:space="preserve">La tua famiglia</t>
  </si>
  <si>
    <t xml:space="preserve">Scrivi qui i nomi una volta sola: compaiono nei menu di tutte le altre schede. L'età si calcola da sola.</t>
  </si>
  <si>
    <t xml:space="preserve">Nome</t>
  </si>
  <si>
    <t xml:space="preserve">Ruolo</t>
  </si>
  <si>
    <t xml:space="preserve">Data di nascita</t>
  </si>
  <si>
    <t xml:space="preserve">Età</t>
  </si>
  <si>
    <t xml:space="preserve">Pediatra o medico di famiglia</t>
  </si>
  <si>
    <t xml:space="preserve">Allergie note (facoltativo)</t>
  </si>
  <si>
    <t xml:space="preserve">Gruppo sanguigno (facoltativo)</t>
  </si>
  <si>
    <t xml:space="preserve">Fascicolo sanitario</t>
  </si>
  <si>
    <t xml:space="preserve">Note</t>
  </si>
  <si>
    <t xml:space="preserve">Sofia</t>
  </si>
  <si>
    <t xml:space="preserve">Figlio/a</t>
  </si>
  <si>
    <t xml:space="preserve">Dott.ssa Rossi · 010 000000</t>
  </si>
  <si>
    <t xml:space="preserve">Nessuna nota</t>
  </si>
  <si>
    <t xml:space="preserve">Non so</t>
  </si>
  <si>
    <t xml:space="preserve">Da attivare (figlio)</t>
  </si>
  <si>
    <t xml:space="preserve">Esempio: cancella e scrivi i tuoi dati</t>
  </si>
  <si>
    <t xml:space="preserve">Luca</t>
  </si>
  <si>
    <t xml:space="preserve">Papà</t>
  </si>
  <si>
    <t xml:space="preserve">Dott. Bianchi</t>
  </si>
  <si>
    <t xml:space="preserve">Attivo con consenso</t>
  </si>
  <si>
    <t xml:space="preserve">Scrivi solo quello che ti serve davvero: questo file non è un archivio medico protetto. Per terapie e diagnosi il posto giusto è il Fascicolo sanitario.</t>
  </si>
  <si>
    <t xml:space="preserve">Scadenze e cose da fare</t>
  </si>
  <si>
    <t xml:space="preserve">Richiami, rinnovi, iscrizioni, pagamenti. Se si ripete, la «Prossima volta» si sposta da sola. Spunta «Fatto» quando è chiusa.</t>
  </si>
  <si>
    <t xml:space="preserve">Data</t>
  </si>
  <si>
    <t xml:space="preserve">Si ripete</t>
  </si>
  <si>
    <t xml:space="preserve">Prossima volta</t>
  </si>
  <si>
    <t xml:space="preserve">Giorni</t>
  </si>
  <si>
    <t xml:space="preserve">Stato</t>
  </si>
  <si>
    <t xml:space="preserve">Fatto</t>
  </si>
  <si>
    <t xml:space="preserve">Chi se ne occupa</t>
  </si>
  <si>
    <t xml:space="preserve">Priorità</t>
  </si>
  <si>
    <t xml:space="preserve">mesi</t>
  </si>
  <si>
    <t xml:space="preserve">Richiamo vaccino (chiedere al pediatra quale)</t>
  </si>
  <si>
    <t xml:space="preserve">Mai</t>
  </si>
  <si>
    <t xml:space="preserve">☐</t>
  </si>
  <si>
    <t xml:space="preserve">Mamma</t>
  </si>
  <si>
    <t xml:space="preserve">Alta</t>
  </si>
  <si>
    <t xml:space="preserve">Retta del nido</t>
  </si>
  <si>
    <t xml:space="preserve">Ogni mese</t>
  </si>
  <si>
    <t xml:space="preserve">Normale</t>
  </si>
  <si>
    <t xml:space="preserve">Si ripete: la data si sposta da sola</t>
  </si>
  <si>
    <t xml:space="preserve">Iscrizione al centro estivo</t>
  </si>
  <si>
    <t xml:space="preserve">☑</t>
  </si>
  <si>
    <t xml:space="preserve">Fatto: esce dai promemoria</t>
  </si>
  <si>
    <t xml:space="preserve">Visite: prima, durante e dopo</t>
  </si>
  <si>
    <t xml:space="preserve">Le prime colonne servono ogni giorno; le domande più a destra. «Disdire entro» propone due giorni lavorativi prima: se la tua struttura dice diverso, scrivi la data nella colonna accanto.</t>
  </si>
  <si>
    <t xml:space="preserve">Ora</t>
  </si>
  <si>
    <t xml:space="preserve">Medico o struttura</t>
  </si>
  <si>
    <t xml:space="preserve">Disdire entro</t>
  </si>
  <si>
    <t xml:space="preserve">Disdire entro: data diversa (se la struttura dice altro)</t>
  </si>
  <si>
    <t xml:space="preserve">Ticket</t>
  </si>
  <si>
    <t xml:space="preserve">Priorità ricetta</t>
  </si>
  <si>
    <t xml:space="preserve">Scadenza ricetta</t>
  </si>
  <si>
    <t xml:space="preserve">N. prenotazione</t>
  </si>
  <si>
    <t xml:space="preserve">Domanda 1 (la più importante)</t>
  </si>
  <si>
    <t xml:space="preserve">Domanda 2</t>
  </si>
  <si>
    <t xml:space="preserve">Domanda 3</t>
  </si>
  <si>
    <t xml:space="preserve">Cosa ho notato</t>
  </si>
  <si>
    <t xml:space="preserve">Risposte</t>
  </si>
  <si>
    <t xml:space="preserve">Cosa facciamo</t>
  </si>
  <si>
    <t xml:space="preserve">Richiamare se o quando</t>
  </si>
  <si>
    <t xml:space="preserve">Dott.ssa Rossi · controllo</t>
  </si>
  <si>
    <t xml:space="preserve">Programmata</t>
  </si>
  <si>
    <t xml:space="preserve">Esente</t>
  </si>
  <si>
    <t xml:space="preserve">Controllo</t>
  </si>
  <si>
    <t xml:space="preserve">Si sveglia tre volte a notte: è normale a questa età?</t>
  </si>
  <si>
    <t xml:space="preserve">Mangia poco a cena</t>
  </si>
  <si>
    <t xml:space="preserve">Quando il prossimo richiamo?</t>
  </si>
  <si>
    <t xml:space="preserve">Da due settimane, dopo le giornate al nido</t>
  </si>
  <si>
    <t xml:space="preserve">Allergologia · Ospedale (esempio)</t>
  </si>
  <si>
    <t xml:space="preserve">Da pagare</t>
  </si>
  <si>
    <t xml:space="preserve">D (30/60 giorni)</t>
  </si>
  <si>
    <t xml:space="preserve">CUP 12345678</t>
  </si>
  <si>
    <t xml:space="preserve">Cosa fare se ricompare l'orticaria?</t>
  </si>
  <si>
    <t xml:space="preserve">Medico di famiglia</t>
  </si>
  <si>
    <t xml:space="preserve">Completata</t>
  </si>
  <si>
    <t xml:space="preserve">Tutto a posto</t>
  </si>
  <si>
    <t xml:space="preserve">Ricontrollo tra un anno</t>
  </si>
  <si>
    <t xml:space="preserve">La cartellina di famiglia</t>
  </si>
  <si>
    <t xml:space="preserve">Dove sta ogni documento e quando scade. «Da rinnovare» compare due mesi prima. Non serve scrivere i numeri dei documenti.</t>
  </si>
  <si>
    <t xml:space="preserve">Documento</t>
  </si>
  <si>
    <t xml:space="preserve">Di chi</t>
  </si>
  <si>
    <t xml:space="preserve">Scadenza</t>
  </si>
  <si>
    <t xml:space="preserve">Dove si trova (carta)</t>
  </si>
  <si>
    <t xml:space="preserve">Dove sta online</t>
  </si>
  <si>
    <t xml:space="preserve">Tessera sanitaria</t>
  </si>
  <si>
    <t xml:space="preserve">Cartellina blu, primo scomparto</t>
  </si>
  <si>
    <t xml:space="preserve">App IO</t>
  </si>
  <si>
    <t xml:space="preserve">Carta d'identità</t>
  </si>
  <si>
    <t xml:space="preserve">Portafoglio</t>
  </si>
  <si>
    <t xml:space="preserve">Foto sul telefono</t>
  </si>
  <si>
    <t xml:space="preserve">Per rinnovarla serve l'appuntamento in Comune</t>
  </si>
  <si>
    <t xml:space="preserve">Libretto vaccinale</t>
  </si>
  <si>
    <t xml:space="preserve">Senza scadenza: lascia vuota la data</t>
  </si>
  <si>
    <t xml:space="preserve">La settimana di tutta la famiglia</t>
  </si>
  <si>
    <t xml:space="preserve">Le cose fisse di ogni settimana e chi se ne occupa: così non le ricorda tutte una persona sola.</t>
  </si>
  <si>
    <t xml:space="preserve">Lunedì</t>
  </si>
  <si>
    <t xml:space="preserve">Martedì</t>
  </si>
  <si>
    <t xml:space="preserve">Mercoledì</t>
  </si>
  <si>
    <t xml:space="preserve">Giovedì</t>
  </si>
  <si>
    <t xml:space="preserve">Venerdì</t>
  </si>
  <si>
    <t xml:space="preserve">Sabato</t>
  </si>
  <si>
    <t xml:space="preserve">Domenica</t>
  </si>
  <si>
    <t xml:space="preserve">Mattina</t>
  </si>
  <si>
    <t xml:space="preserve">Nido 8:30</t>
  </si>
  <si>
    <t xml:space="preserve">Pomeriggio</t>
  </si>
  <si>
    <t xml:space="preserve">Sera</t>
  </si>
  <si>
    <t xml:space="preserve">Bagnetto, storia, nanna 20:30</t>
  </si>
  <si>
    <t xml:space="preserve">Luca mattina · Mamma sera</t>
  </si>
  <si>
    <t xml:space="preserve">Esempio nella colonna Lunedì: cancellalo e scrivi la tua settimana. Visite e scadenze le trovi già in «Inizia da qui».</t>
  </si>
  <si>
    <t xml:space="preserve">Contatti utili</t>
  </si>
  <si>
    <t xml:space="preserve">Tutti i numeri che servono, in un posto solo. Stampalo e mettilo nella cartellina.</t>
  </si>
  <si>
    <t xml:space="preserve">Chi</t>
  </si>
  <si>
    <t xml:space="preserve">Telefono</t>
  </si>
  <si>
    <t xml:space="preserve">Orari / quando chiamare</t>
  </si>
  <si>
    <t xml:space="preserve">Pediatra</t>
  </si>
  <si>
    <t xml:space="preserve">Dott.ssa Rossi</t>
  </si>
  <si>
    <t xml:space="preserve">010 000000</t>
  </si>
  <si>
    <t xml:space="preserve">Lun-ven 9-12, telefonate 13-14</t>
  </si>
  <si>
    <t xml:space="preserve">Guardia medica</t>
  </si>
  <si>
    <t xml:space="preserve">116117</t>
  </si>
  <si>
    <t xml:space="preserve">Notte, weekend e festivi</t>
  </si>
  <si>
    <t xml:space="preserve">Numero unico in molte regioni: verifica nella tua</t>
  </si>
  <si>
    <t xml:space="preserve">CUP (prenotazioni)</t>
  </si>
  <si>
    <t xml:space="preserve">CUP regionale</t>
  </si>
  <si>
    <t xml:space="preserve">Per prenotare e disdire; segna anche sito e app</t>
  </si>
  <si>
    <t xml:space="preserve">Cerca il numero della tua Regione</t>
  </si>
  <si>
    <t xml:space="preserve">URP della ASL</t>
  </si>
  <si>
    <t xml:space="preserve">Se la visita supera i tempi della ricetta</t>
  </si>
  <si>
    <t xml:space="preserve">Chiedi il «percorso di tutela»</t>
  </si>
  <si>
    <t xml:space="preserve">Le prime volte e i ricordi</t>
  </si>
  <si>
    <t xml:space="preserve">La prima parola, i primi passi, il primo giorno di nido. Due righe oggi valgono più di una memoria tra dieci anni.</t>
  </si>
  <si>
    <t xml:space="preserve">Cosa è successo</t>
  </si>
  <si>
    <t xml:space="preserve">Come è andata, con parole tue</t>
  </si>
  <si>
    <t xml:space="preserve">Dove sta la foto o il video</t>
  </si>
  <si>
    <t xml:space="preserve">Prima parola: «pappa»</t>
  </si>
  <si>
    <t xml:space="preserve">A cena, indicando il piatto. Abbiamo riso tutti e lei l'ha ripetuta dieci volte.</t>
  </si>
  <si>
    <t xml:space="preserve">Telefono di mamma, album «Sofia»</t>
  </si>
  <si>
    <t xml:space="preserve">chiave prossimi</t>
  </si>
  <si>
    <t xml:space="preserve">data</t>
  </si>
  <si>
    <t xml:space="preserve">cosa</t>
  </si>
  <si>
    <t xml:space="preserve">chi</t>
  </si>
  <si>
    <t xml:space="preserve">tipo</t>
  </si>
  <si>
    <t xml:space="preserve">chiave scadute</t>
  </si>
  <si>
    <t xml:space="preserve">prossimi (ordinati)</t>
  </si>
  <si>
    <t xml:space="preserve">scadute (ordinate)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</si>
</sst>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dd/mm"/>
    <numFmt numFmtId="168" formatCode="hh:mm"/>
    <numFmt numFmtId="169" formatCode="mm/dd/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3A2C30"/>
      <name val="Georgia"/>
      <family val="0"/>
      <charset val="1"/>
    </font>
    <font>
      <i val="true"/>
      <sz val="10"/>
      <color rgb="FF7A6569"/>
      <name val="Arial"/>
      <family val="0"/>
      <charset val="1"/>
    </font>
    <font>
      <sz val="16"/>
      <color rgb="FF97606F"/>
      <name val="Georgia"/>
      <family val="0"/>
      <charset val="1"/>
    </font>
    <font>
      <sz val="11"/>
      <color rgb="FF7A6569"/>
      <name val="Arial"/>
      <family val="0"/>
      <charset val="1"/>
    </font>
    <font>
      <b val="true"/>
      <sz val="11"/>
      <color rgb="FF3A2C30"/>
      <name val="Arial"/>
      <family val="0"/>
      <charset val="1"/>
    </font>
    <font>
      <b val="true"/>
      <sz val="13"/>
      <color rgb="FF3A2C30"/>
      <name val="Georgia"/>
      <family val="0"/>
      <charset val="1"/>
    </font>
    <font>
      <b val="true"/>
      <sz val="20"/>
      <color rgb="FF97606F"/>
      <name val="Georgia"/>
      <family val="0"/>
      <charset val="1"/>
    </font>
    <font>
      <sz val="11"/>
      <color rgb="FF3A2C30"/>
      <name val="Arial"/>
      <family val="0"/>
      <charset val="1"/>
    </font>
    <font>
      <b val="true"/>
      <sz val="20"/>
      <color rgb="FF4D5A48"/>
      <name val="Georgia"/>
      <family val="0"/>
      <charset val="1"/>
    </font>
    <font>
      <b val="true"/>
      <sz val="20"/>
      <color rgb="FF6B5644"/>
      <name val="Georgia"/>
      <family val="0"/>
      <charset val="1"/>
    </font>
    <font>
      <b val="true"/>
      <sz val="20"/>
      <color rgb="FF3A2C30"/>
      <name val="Georgia"/>
      <family val="0"/>
      <charset val="1"/>
    </font>
    <font>
      <b val="true"/>
      <sz val="9"/>
      <color rgb="FF7A6569"/>
      <name val="Arial"/>
      <family val="0"/>
      <charset val="1"/>
    </font>
    <font>
      <b val="true"/>
      <sz val="11"/>
      <color rgb="FF97606F"/>
      <name val="Arial"/>
      <family val="0"/>
      <charset val="1"/>
    </font>
    <font>
      <sz val="10"/>
      <color rgb="FF7A6569"/>
      <name val="Arial"/>
      <family val="0"/>
      <charset val="1"/>
    </font>
    <font>
      <b val="true"/>
      <sz val="11"/>
      <color rgb="FF8A243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3A2C30"/>
      <name val="Arial"/>
      <family val="0"/>
      <charset val="1"/>
    </font>
    <font>
      <sz val="9"/>
      <color rgb="FF7A6569"/>
      <name val="Arial"/>
      <family val="0"/>
      <charset val="1"/>
    </font>
    <font>
      <u val="single"/>
      <sz val="9"/>
      <color rgb="FF97606F"/>
      <name val="Arial"/>
      <family val="0"/>
      <charset val="1"/>
    </font>
    <font>
      <b val="true"/>
      <sz val="18"/>
      <color rgb="FF3A2C30"/>
      <name val="Georgia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7A656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4E9EC"/>
        <bgColor rgb="FFEFE6DC"/>
      </patternFill>
    </fill>
    <fill>
      <patternFill patternType="solid">
        <fgColor rgb="FFE8EDE4"/>
        <bgColor rgb="FFEFE6DC"/>
      </patternFill>
    </fill>
    <fill>
      <patternFill patternType="solid">
        <fgColor rgb="FFEFE6DC"/>
        <bgColor rgb="FFF4E9EC"/>
      </patternFill>
    </fill>
    <fill>
      <patternFill patternType="solid">
        <fgColor rgb="FFFFFFFF"/>
        <bgColor rgb="FFFBF6F4"/>
      </patternFill>
    </fill>
    <fill>
      <patternFill patternType="solid">
        <fgColor rgb="FF97606F"/>
        <bgColor rgb="FF7A6569"/>
      </patternFill>
    </fill>
    <fill>
      <patternFill patternType="solid">
        <fgColor rgb="FFFBF6F4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FFFFFF"/>
      </bottom>
      <diagonal/>
    </border>
    <border diagonalUp="false" diagonalDown="false">
      <left/>
      <right/>
      <top/>
      <bottom style="thin">
        <color rgb="FFEADCDF"/>
      </bottom>
      <diagonal/>
    </border>
    <border diagonalUp="false" diagonalDown="false">
      <left/>
      <right style="thin">
        <color rgb="FFEADCDF"/>
      </right>
      <top/>
      <bottom style="thin">
        <color rgb="FFEADC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3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4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6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2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9" fillId="7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Georgia"/>
        <charset val="1"/>
        <family val="0"/>
        <b val="1"/>
        <color rgb="FF8A2430"/>
        <sz val="20"/>
      </font>
      <fill>
        <patternFill>
          <bgColor rgb="FFF8D7DA"/>
        </patternFill>
      </fill>
    </dxf>
    <dxf>
      <fill>
        <patternFill>
          <bgColor rgb="FFFFF6DB"/>
        </patternFill>
      </fill>
    </dxf>
    <dxf>
      <font>
        <name val="Arial"/>
        <charset val="1"/>
        <family val="0"/>
        <b val="1"/>
        <color rgb="FF8A2430"/>
      </font>
      <fill>
        <patternFill>
          <bgColor rgb="FFF8D7DA"/>
        </patternFill>
      </fill>
    </dxf>
    <dxf>
      <font>
        <name val="Arial"/>
        <charset val="1"/>
        <family val="0"/>
        <b val="1"/>
        <color rgb="FF7A5A00"/>
      </font>
      <fill>
        <patternFill>
          <bgColor rgb="FFFFF0C2"/>
        </patternFill>
      </fill>
    </dxf>
    <dxf>
      <font>
        <name val="Arial"/>
        <charset val="1"/>
        <family val="0"/>
        <color rgb="FF9A8A8E"/>
      </font>
    </dxf>
    <dxf>
      <font>
        <name val="Arial"/>
        <charset val="1"/>
        <family val="0"/>
        <strike val="1"/>
        <color rgb="FF9A8A8E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5A00"/>
      <rgbColor rgb="FF800080"/>
      <rgbColor rgb="FF008080"/>
      <rgbColor rgb="FFEFE6DC"/>
      <rgbColor rgb="FF97606F"/>
      <rgbColor rgb="FF9999FF"/>
      <rgbColor rgb="FF6B5644"/>
      <rgbColor rgb="FFFFF6DB"/>
      <rgbColor rgb="FFFBF6F4"/>
      <rgbColor rgb="FF660066"/>
      <rgbColor rgb="FFFF8080"/>
      <rgbColor rgb="FF0066CC"/>
      <rgbColor rgb="FFEADC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E9EC"/>
      <rgbColor rgb="FFE8EDE4"/>
      <rgbColor rgb="FFFFF0C2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7A6569"/>
      <rgbColor rgb="FF9A8A8E"/>
      <rgbColor rgb="FF003366"/>
      <rgbColor rgb="FF339966"/>
      <rgbColor rgb="FF003300"/>
      <rgbColor rgb="FF4D5A48"/>
      <rgbColor rgb="FF8A2430"/>
      <rgbColor rgb="FF993366"/>
      <rgbColor rgb="FF333399"/>
      <rgbColor rgb="FF3A2C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serenainmente.it/guide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4"/>
  </cols>
  <sheetData>
    <row r="1" customFormat="false" ht="33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5.5" hidden="false" customHeight="true" outlineLevel="0" collapsed="false">
      <c r="A4" s="3" t="str">
        <f aca="true">IF(HOUR(NOW())&lt;13,"Buongiorno!",IF(HOUR(NOW())&lt;18,"Buon pomeriggio!","Buonasera!"))</f>
        <v>Buongiorno!</v>
      </c>
    </row>
    <row r="5" customFormat="false" ht="15" hidden="false" customHeight="false" outlineLevel="0" collapsed="false">
      <c r="A5" s="4" t="s">
        <v>2</v>
      </c>
      <c r="B5" s="5" t="n">
        <f aca="true">TODAY()</f>
        <v>46313</v>
      </c>
    </row>
    <row r="7" customFormat="false" ht="24" hidden="false" customHeight="true" outlineLevel="0" collapsed="false">
      <c r="A7" s="6" t="s">
        <v>3</v>
      </c>
    </row>
    <row r="8" customFormat="false" ht="33.75" hidden="false" customHeight="true" outlineLevel="0" collapsed="false">
      <c r="A8" s="7" t="n">
        <f aca="false">COUNTIFS(Scadenze!$F$5:$F$304,"&gt;=0",Scadenze!$F$5:$F$304,"&lt;=30")</f>
        <v>2</v>
      </c>
      <c r="B8" s="8" t="s">
        <v>4</v>
      </c>
      <c r="C8" s="8"/>
      <c r="D8" s="8"/>
    </row>
    <row r="9" customFormat="false" ht="33.75" hidden="false" customHeight="true" outlineLevel="0" collapsed="false">
      <c r="A9" s="9" t="n">
        <f aca="true">COUNTIFS(Calcoli!$E$2:$E$901,"Visita",Calcoli!$B$2:$B$901,"&gt;="&amp;TODAY(),Calcoli!$B$2:$B$901,"&lt;="&amp;(TODAY()+14))</f>
        <v>2</v>
      </c>
      <c r="B9" s="10" t="s">
        <v>5</v>
      </c>
      <c r="C9" s="10"/>
      <c r="D9" s="10"/>
    </row>
    <row r="10" customFormat="false" ht="33.75" hidden="false" customHeight="true" outlineLevel="0" collapsed="false">
      <c r="A10" s="11" t="n">
        <f aca="false">COUNTIF(Documenti!$E$5:$E$304,"Scaduto")+COUNTIF(Documenti!$E$5:$E$304,"Da rinnovare")</f>
        <v>1</v>
      </c>
      <c r="B10" s="12" t="s">
        <v>6</v>
      </c>
      <c r="C10" s="12"/>
      <c r="D10" s="12"/>
    </row>
    <row r="11" customFormat="false" ht="33.75" hidden="false" customHeight="true" outlineLevel="0" collapsed="false">
      <c r="A11" s="13" t="n">
        <f aca="false">COUNTIF(Scadenze!$G$5:$G$304,"Scaduta")</f>
        <v>0</v>
      </c>
      <c r="B11" s="14" t="s">
        <v>7</v>
      </c>
      <c r="C11" s="14"/>
      <c r="D11" s="14"/>
    </row>
    <row r="12" customFormat="false" ht="33.75" hidden="false" customHeight="true" outlineLevel="0" collapsed="false">
      <c r="A12" s="13" t="n">
        <f aca="false">COUNTIFS(Visite!$H$5:$H$304,"Da pagare",Visite!$E$5:$E$304,"&lt;&gt;Annullata")</f>
        <v>1</v>
      </c>
      <c r="B12" s="14" t="s">
        <v>8</v>
      </c>
      <c r="C12" s="14"/>
      <c r="D12" s="14"/>
    </row>
    <row r="14" customFormat="false" ht="24" hidden="false" customHeight="true" outlineLevel="0" collapsed="false">
      <c r="A14" s="6" t="s">
        <v>9</v>
      </c>
    </row>
    <row r="15" customFormat="false" ht="15" hidden="false" customHeight="false" outlineLevel="0" collapsed="false">
      <c r="A15" s="2" t="s">
        <v>10</v>
      </c>
    </row>
    <row r="16" customFormat="false" ht="15" hidden="false" customHeight="false" outlineLevel="0" collapsed="false">
      <c r="A16" s="15" t="s">
        <v>11</v>
      </c>
      <c r="B16" s="15" t="s">
        <v>12</v>
      </c>
      <c r="C16" s="15" t="s">
        <v>13</v>
      </c>
      <c r="D16" s="15" t="s">
        <v>14</v>
      </c>
    </row>
    <row r="17" customFormat="false" ht="24" hidden="false" customHeight="true" outlineLevel="0" collapsed="false">
      <c r="A17" s="16" t="n">
        <f aca="false">IF(Calcoli!$H$2="","",INDEX(Calcoli!$B$2:$B$901,MATCH(Calcoli!$H$2,Calcoli!$A$2:$A$901,0)))</f>
        <v>46319</v>
      </c>
      <c r="B17" s="17" t="str">
        <f aca="false">IF(Calcoli!$H$2="","Nessun impegno in arrivo: aggiungi una visita o una scadenza nelle loro schede.",INDEX(Calcoli!$C$2:$C$901,MATCH(Calcoli!$H$2,Calcoli!$A$2:$A$901,0)))</f>
        <v>Visita · Dott.ssa Rossi · controllo · ore 10:30</v>
      </c>
      <c r="C17" s="18" t="str">
        <f aca="false">IF(Calcoli!$H$2="","",INDEX(Calcoli!$D$2:$D$901,MATCH(Calcoli!$H$2,Calcoli!$A$2:$A$901,0)))</f>
        <v>Sofia</v>
      </c>
      <c r="D17" s="18" t="str">
        <f aca="true">IF(A17="","",IF(A17=TODAY(),"oggi",IF(A17=TODAY()+1,"domani","tra "&amp;(A17-TODAY())&amp;" giorni")))</f>
        <v>tra 6 giorni</v>
      </c>
    </row>
    <row r="18" customFormat="false" ht="24" hidden="false" customHeight="true" outlineLevel="0" collapsed="false">
      <c r="A18" s="16" t="n">
        <f aca="false">IF(Calcoli!$H$3="","",INDEX(Calcoli!$B$2:$B$901,MATCH(Calcoli!$H$3,Calcoli!$A$2:$A$901,0)))</f>
        <v>46325</v>
      </c>
      <c r="B18" s="17" t="str">
        <f aca="false">IF(Calcoli!$H$3="","",INDEX(Calcoli!$C$2:$C$901,MATCH(Calcoli!$H$3,Calcoli!$A$2:$A$901,0)))</f>
        <v>Visita · Allergologia · Ospedale (esempio) · ore 15:00</v>
      </c>
      <c r="C18" s="18" t="str">
        <f aca="false">IF(Calcoli!$H$3="","",INDEX(Calcoli!$D$2:$D$901,MATCH(Calcoli!$H$3,Calcoli!$A$2:$A$901,0)))</f>
        <v>Sofia</v>
      </c>
      <c r="D18" s="18" t="str">
        <f aca="true">IF(A18="","",IF(A18=TODAY(),"oggi",IF(A18=TODAY()+1,"domani","tra "&amp;(A18-TODAY())&amp;" giorni")))</f>
        <v>tra 12 giorni</v>
      </c>
    </row>
    <row r="19" customFormat="false" ht="24" hidden="false" customHeight="true" outlineLevel="0" collapsed="false">
      <c r="A19" s="16" t="n">
        <f aca="false">IF(Calcoli!$H$4="","",INDEX(Calcoli!$B$2:$B$901,MATCH(Calcoli!$H$4,Calcoli!$A$2:$A$901,0)))</f>
        <v>46334</v>
      </c>
      <c r="B19" s="17" t="str">
        <f aca="false">IF(Calcoli!$H$4="","",INDEX(Calcoli!$C$2:$C$901,MATCH(Calcoli!$H$4,Calcoli!$A$2:$A$901,0)))</f>
        <v>Richiamo vaccino (chiedere al pediatra quale)</v>
      </c>
      <c r="C19" s="18" t="str">
        <f aca="false">IF(Calcoli!$H$4="","",INDEX(Calcoli!$D$2:$D$901,MATCH(Calcoli!$H$4,Calcoli!$A$2:$A$901,0)))</f>
        <v>Sofia</v>
      </c>
      <c r="D19" s="18" t="str">
        <f aca="true">IF(A19="","",IF(A19=TODAY(),"oggi",IF(A19=TODAY()+1,"domani","tra "&amp;(A19-TODAY())&amp;" giorni")))</f>
        <v>tra 21 giorni</v>
      </c>
    </row>
    <row r="20" customFormat="false" ht="24" hidden="false" customHeight="true" outlineLevel="0" collapsed="false">
      <c r="A20" s="16" t="n">
        <f aca="false">IF(Calcoli!$H$5="","",INDEX(Calcoli!$B$2:$B$901,MATCH(Calcoli!$H$5,Calcoli!$A$2:$A$901,0)))</f>
        <v>46334</v>
      </c>
      <c r="B20" s="17" t="str">
        <f aca="false">IF(Calcoli!$H$5="","",INDEX(Calcoli!$C$2:$C$901,MATCH(Calcoli!$H$5,Calcoli!$A$2:$A$901,0)))</f>
        <v>Retta del nido</v>
      </c>
      <c r="C20" s="18" t="str">
        <f aca="false">IF(Calcoli!$H$5="","",INDEX(Calcoli!$D$2:$D$901,MATCH(Calcoli!$H$5,Calcoli!$A$2:$A$901,0)))</f>
        <v>Sofia</v>
      </c>
      <c r="D20" s="18" t="str">
        <f aca="true">IF(A20="","",IF(A20=TODAY(),"oggi",IF(A20=TODAY()+1,"domani","tra "&amp;(A20-TODAY())&amp;" giorni")))</f>
        <v>tra 21 giorni</v>
      </c>
    </row>
    <row r="21" customFormat="false" ht="24" hidden="false" customHeight="true" outlineLevel="0" collapsed="false">
      <c r="A21" s="16" t="n">
        <f aca="false">IF(Calcoli!$H$6="","",INDEX(Calcoli!$B$2:$B$901,MATCH(Calcoli!$H$6,Calcoli!$A$2:$A$901,0)))</f>
        <v>46353</v>
      </c>
      <c r="B21" s="17" t="str">
        <f aca="false">IF(Calcoli!$H$6="","",INDEX(Calcoli!$C$2:$C$901,MATCH(Calcoli!$H$6,Calcoli!$A$2:$A$901,0)))</f>
        <v>Rinnovo · Carta d'identità</v>
      </c>
      <c r="C21" s="18" t="str">
        <f aca="false">IF(Calcoli!$H$6="","",INDEX(Calcoli!$D$2:$D$901,MATCH(Calcoli!$H$6,Calcoli!$A$2:$A$901,0)))</f>
        <v>Luca</v>
      </c>
      <c r="D21" s="18" t="str">
        <f aca="true">IF(A21="","",IF(A21=TODAY(),"oggi",IF(A21=TODAY()+1,"domani","tra "&amp;(A21-TODAY())&amp;" giorni")))</f>
        <v>tra 40 giorni</v>
      </c>
    </row>
    <row r="22" customFormat="false" ht="24" hidden="false" customHeight="true" outlineLevel="0" collapsed="false">
      <c r="A22" s="16" t="str">
        <f aca="false">IF(Calcoli!$H$7="","",INDEX(Calcoli!$B$2:$B$901,MATCH(Calcoli!$H$7,Calcoli!$A$2:$A$901,0)))</f>
        <v/>
      </c>
      <c r="B22" s="17" t="str">
        <f aca="false">IF(Calcoli!$H$7="","",INDEX(Calcoli!$C$2:$C$901,MATCH(Calcoli!$H$7,Calcoli!$A$2:$A$901,0)))</f>
        <v/>
      </c>
      <c r="C22" s="18" t="str">
        <f aca="false">IF(Calcoli!$H$7="","",INDEX(Calcoli!$D$2:$D$901,MATCH(Calcoli!$H$7,Calcoli!$A$2:$A$901,0)))</f>
        <v/>
      </c>
      <c r="D22" s="18" t="str">
        <f aca="true">IF(A22="","",IF(A22=TODAY(),"oggi",IF(A22=TODAY()+1,"domani","tra "&amp;(A22-TODAY())&amp;" giorni")))</f>
        <v/>
      </c>
    </row>
    <row r="23" customFormat="false" ht="24" hidden="false" customHeight="true" outlineLevel="0" collapsed="false">
      <c r="A23" s="16" t="str">
        <f aca="false">IF(Calcoli!$H$8="","",INDEX(Calcoli!$B$2:$B$901,MATCH(Calcoli!$H$8,Calcoli!$A$2:$A$901,0)))</f>
        <v/>
      </c>
      <c r="B23" s="17" t="str">
        <f aca="false">IF(Calcoli!$H$8="","",INDEX(Calcoli!$C$2:$C$901,MATCH(Calcoli!$H$8,Calcoli!$A$2:$A$901,0)))</f>
        <v/>
      </c>
      <c r="C23" s="18" t="str">
        <f aca="false">IF(Calcoli!$H$8="","",INDEX(Calcoli!$D$2:$D$901,MATCH(Calcoli!$H$8,Calcoli!$A$2:$A$901,0)))</f>
        <v/>
      </c>
      <c r="D23" s="18" t="str">
        <f aca="true">IF(A23="","",IF(A23=TODAY(),"oggi",IF(A23=TODAY()+1,"domani","tra "&amp;(A23-TODAY())&amp;" giorni")))</f>
        <v/>
      </c>
    </row>
    <row r="24" customFormat="false" ht="24" hidden="false" customHeight="true" outlineLevel="0" collapsed="false">
      <c r="A24" s="16" t="str">
        <f aca="false">IF(Calcoli!$H$9="","",INDEX(Calcoli!$B$2:$B$901,MATCH(Calcoli!$H$9,Calcoli!$A$2:$A$901,0)))</f>
        <v/>
      </c>
      <c r="B24" s="17" t="str">
        <f aca="false">IF(Calcoli!$H$9="","",INDEX(Calcoli!$C$2:$C$901,MATCH(Calcoli!$H$9,Calcoli!$A$2:$A$901,0)))</f>
        <v/>
      </c>
      <c r="C24" s="18" t="str">
        <f aca="false">IF(Calcoli!$H$9="","",INDEX(Calcoli!$D$2:$D$901,MATCH(Calcoli!$H$9,Calcoli!$A$2:$A$901,0)))</f>
        <v/>
      </c>
      <c r="D24" s="18" t="str">
        <f aca="true">IF(A24="","",IF(A24=TODAY(),"oggi",IF(A24=TODAY()+1,"domani","tra "&amp;(A24-TODAY())&amp;" giorni")))</f>
        <v/>
      </c>
    </row>
    <row r="25" customFormat="false" ht="24" hidden="false" customHeight="true" outlineLevel="0" collapsed="false">
      <c r="A25" s="16" t="str">
        <f aca="false">IF(Calcoli!$H$10="","",INDEX(Calcoli!$B$2:$B$901,MATCH(Calcoli!$H$10,Calcoli!$A$2:$A$901,0)))</f>
        <v/>
      </c>
      <c r="B25" s="17" t="str">
        <f aca="false">IF(Calcoli!$H$10="","",INDEX(Calcoli!$C$2:$C$901,MATCH(Calcoli!$H$10,Calcoli!$A$2:$A$901,0)))</f>
        <v/>
      </c>
      <c r="C25" s="18" t="str">
        <f aca="false">IF(Calcoli!$H$10="","",INDEX(Calcoli!$D$2:$D$901,MATCH(Calcoli!$H$10,Calcoli!$A$2:$A$901,0)))</f>
        <v/>
      </c>
      <c r="D25" s="18" t="str">
        <f aca="true">IF(A25="","",IF(A25=TODAY(),"oggi",IF(A25=TODAY()+1,"domani","tra "&amp;(A25-TODAY())&amp;" giorni")))</f>
        <v/>
      </c>
    </row>
    <row r="26" customFormat="false" ht="24" hidden="false" customHeight="true" outlineLevel="0" collapsed="false">
      <c r="A26" s="16" t="str">
        <f aca="false">IF(Calcoli!$H$11="","",INDEX(Calcoli!$B$2:$B$901,MATCH(Calcoli!$H$11,Calcoli!$A$2:$A$901,0)))</f>
        <v/>
      </c>
      <c r="B26" s="17" t="str">
        <f aca="false">IF(Calcoli!$H$11="","",INDEX(Calcoli!$C$2:$C$901,MATCH(Calcoli!$H$11,Calcoli!$A$2:$A$901,0)))</f>
        <v/>
      </c>
      <c r="C26" s="18" t="str">
        <f aca="false">IF(Calcoli!$H$11="","",INDEX(Calcoli!$D$2:$D$901,MATCH(Calcoli!$H$11,Calcoli!$A$2:$A$901,0)))</f>
        <v/>
      </c>
      <c r="D26" s="18" t="str">
        <f aca="true">IF(A26="","",IF(A26=TODAY(),"oggi",IF(A26=TODAY()+1,"domani","tra "&amp;(A26-TODAY())&amp;" giorni")))</f>
        <v/>
      </c>
    </row>
    <row r="28" customFormat="false" ht="24" hidden="false" customHeight="true" outlineLevel="0" collapsed="false">
      <c r="A28" s="6" t="s">
        <v>15</v>
      </c>
    </row>
    <row r="29" customFormat="false" ht="15" hidden="false" customHeight="false" outlineLevel="0" collapsed="false">
      <c r="A29" s="2" t="s">
        <v>16</v>
      </c>
    </row>
    <row r="30" customFormat="false" ht="24" hidden="false" customHeight="true" outlineLevel="0" collapsed="false">
      <c r="A30" s="19" t="str">
        <f aca="false">IF(Calcoli!$I$2="","",INDEX(Calcoli!$B$2:$B$901,MATCH(Calcoli!$I$2,Calcoli!$F$2:$F$901,0)))</f>
        <v/>
      </c>
      <c r="B30" s="17" t="str">
        <f aca="false">IF(Calcoli!$I$2="","Niente in sospeso.",INDEX(Calcoli!$C$2:$C$901,MATCH(Calcoli!$I$2,Calcoli!$F$2:$F$901,0)))</f>
        <v>Niente in sospeso.</v>
      </c>
      <c r="C30" s="18" t="str">
        <f aca="false">IF(Calcoli!$I$2="","",INDEX(Calcoli!$D$2:$D$901,MATCH(Calcoli!$I$2,Calcoli!$F$2:$F$901,0)))</f>
        <v/>
      </c>
      <c r="D30" s="18" t="str">
        <f aca="true">IF(A30="","","da "&amp;(TODAY()-A30)&amp;IF(TODAY()-A30=1," giorno"," giorni"))</f>
        <v/>
      </c>
    </row>
    <row r="31" customFormat="false" ht="24" hidden="false" customHeight="true" outlineLevel="0" collapsed="false">
      <c r="A31" s="19" t="str">
        <f aca="false">IF(Calcoli!$I$3="","",INDEX(Calcoli!$B$2:$B$901,MATCH(Calcoli!$I$3,Calcoli!$F$2:$F$901,0)))</f>
        <v/>
      </c>
      <c r="B31" s="17" t="str">
        <f aca="false">IF(Calcoli!$I$3="","",INDEX(Calcoli!$C$2:$C$901,MATCH(Calcoli!$I$3,Calcoli!$F$2:$F$901,0)))</f>
        <v/>
      </c>
      <c r="C31" s="18" t="str">
        <f aca="false">IF(Calcoli!$I$3="","",INDEX(Calcoli!$D$2:$D$901,MATCH(Calcoli!$I$3,Calcoli!$F$2:$F$901,0)))</f>
        <v/>
      </c>
      <c r="D31" s="18" t="str">
        <f aca="true">IF(A31="","","da "&amp;(TODAY()-A31)&amp;IF(TODAY()-A31=1," giorno"," giorni"))</f>
        <v/>
      </c>
    </row>
    <row r="32" customFormat="false" ht="24" hidden="false" customHeight="true" outlineLevel="0" collapsed="false">
      <c r="A32" s="19" t="str">
        <f aca="false">IF(Calcoli!$I$4="","",INDEX(Calcoli!$B$2:$B$901,MATCH(Calcoli!$I$4,Calcoli!$F$2:$F$901,0)))</f>
        <v/>
      </c>
      <c r="B32" s="17" t="str">
        <f aca="false">IF(Calcoli!$I$4="","",INDEX(Calcoli!$C$2:$C$901,MATCH(Calcoli!$I$4,Calcoli!$F$2:$F$901,0)))</f>
        <v/>
      </c>
      <c r="C32" s="18" t="str">
        <f aca="false">IF(Calcoli!$I$4="","",INDEX(Calcoli!$D$2:$D$901,MATCH(Calcoli!$I$4,Calcoli!$F$2:$F$901,0)))</f>
        <v/>
      </c>
      <c r="D32" s="18" t="str">
        <f aca="true">IF(A32="","","da "&amp;(TODAY()-A32)&amp;IF(TODAY()-A32=1," giorno"," giorni"))</f>
        <v/>
      </c>
    </row>
    <row r="33" customFormat="false" ht="24" hidden="false" customHeight="true" outlineLevel="0" collapsed="false">
      <c r="A33" s="19" t="str">
        <f aca="false">IF(Calcoli!$I$5="","",INDEX(Calcoli!$B$2:$B$901,MATCH(Calcoli!$I$5,Calcoli!$F$2:$F$901,0)))</f>
        <v/>
      </c>
      <c r="B33" s="17" t="str">
        <f aca="false">IF(Calcoli!$I$5="","",INDEX(Calcoli!$C$2:$C$901,MATCH(Calcoli!$I$5,Calcoli!$F$2:$F$901,0)))</f>
        <v/>
      </c>
      <c r="C33" s="18" t="str">
        <f aca="false">IF(Calcoli!$I$5="","",INDEX(Calcoli!$D$2:$D$901,MATCH(Calcoli!$I$5,Calcoli!$F$2:$F$901,0)))</f>
        <v/>
      </c>
      <c r="D33" s="18" t="str">
        <f aca="true">IF(A33="","","da "&amp;(TODAY()-A33)&amp;IF(TODAY()-A33=1," giorno"," giorni"))</f>
        <v/>
      </c>
    </row>
    <row r="34" customFormat="false" ht="24" hidden="false" customHeight="true" outlineLevel="0" collapsed="false">
      <c r="A34" s="19" t="str">
        <f aca="false">IF(Calcoli!$I$6="","",INDEX(Calcoli!$B$2:$B$901,MATCH(Calcoli!$I$6,Calcoli!$F$2:$F$901,0)))</f>
        <v/>
      </c>
      <c r="B34" s="17" t="str">
        <f aca="false">IF(Calcoli!$I$6="","",INDEX(Calcoli!$C$2:$C$901,MATCH(Calcoli!$I$6,Calcoli!$F$2:$F$901,0)))</f>
        <v/>
      </c>
      <c r="C34" s="18" t="str">
        <f aca="false">IF(Calcoli!$I$6="","",INDEX(Calcoli!$D$2:$D$901,MATCH(Calcoli!$I$6,Calcoli!$F$2:$F$901,0)))</f>
        <v/>
      </c>
      <c r="D34" s="18" t="str">
        <f aca="true">IF(A34="","","da "&amp;(TODAY()-A34)&amp;IF(TODAY()-A34=1," giorno"," giorni"))</f>
        <v/>
      </c>
    </row>
    <row r="36" customFormat="false" ht="24" hidden="false" customHeight="true" outlineLevel="0" collapsed="false">
      <c r="A36" s="6" t="s">
        <v>17</v>
      </c>
    </row>
    <row r="37" customFormat="false" ht="30" hidden="false" customHeight="true" outlineLevel="0" collapsed="false">
      <c r="A37" s="20" t="s">
        <v>18</v>
      </c>
      <c r="B37" s="21" t="s">
        <v>19</v>
      </c>
      <c r="C37" s="21"/>
      <c r="D37" s="21"/>
    </row>
    <row r="38" customFormat="false" ht="30" hidden="false" customHeight="true" outlineLevel="0" collapsed="false">
      <c r="A38" s="20" t="s">
        <v>20</v>
      </c>
      <c r="B38" s="21" t="s">
        <v>21</v>
      </c>
      <c r="C38" s="21"/>
      <c r="D38" s="21"/>
    </row>
    <row r="39" customFormat="false" ht="30" hidden="false" customHeight="true" outlineLevel="0" collapsed="false">
      <c r="A39" s="20" t="s">
        <v>22</v>
      </c>
      <c r="B39" s="21" t="s">
        <v>23</v>
      </c>
      <c r="C39" s="21"/>
      <c r="D39" s="21"/>
    </row>
    <row r="40" customFormat="false" ht="30" hidden="false" customHeight="true" outlineLevel="0" collapsed="false">
      <c r="A40" s="20" t="s">
        <v>24</v>
      </c>
      <c r="B40" s="21" t="s">
        <v>25</v>
      </c>
      <c r="C40" s="21"/>
      <c r="D40" s="21"/>
    </row>
    <row r="41" customFormat="false" ht="30" hidden="false" customHeight="true" outlineLevel="0" collapsed="false">
      <c r="A41" s="20" t="s">
        <v>26</v>
      </c>
      <c r="B41" s="21" t="s">
        <v>27</v>
      </c>
      <c r="C41" s="21"/>
      <c r="D41" s="21"/>
    </row>
    <row r="43" customFormat="false" ht="15" hidden="false" customHeight="false" outlineLevel="0" collapsed="false">
      <c r="A43" s="22" t="s">
        <v>28</v>
      </c>
    </row>
    <row r="44" customFormat="false" ht="15" hidden="false" customHeight="false" outlineLevel="0" collapsed="false">
      <c r="A44" s="23" t="s">
        <v>29</v>
      </c>
      <c r="B44" s="24" t="s">
        <v>30</v>
      </c>
    </row>
    <row r="45" customFormat="false" ht="15" hidden="false" customHeight="false" outlineLevel="0" collapsed="false">
      <c r="A45" s="25" t="s">
        <v>31</v>
      </c>
      <c r="B45" s="24" t="s">
        <v>32</v>
      </c>
    </row>
    <row r="47" customFormat="false" ht="54" hidden="false" customHeight="true" outlineLevel="0" collapsed="false">
      <c r="A47" s="26" t="s">
        <v>33</v>
      </c>
      <c r="B47" s="26"/>
      <c r="C47" s="26"/>
      <c r="D47" s="26"/>
    </row>
    <row r="48" customFormat="false" ht="15" hidden="false" customHeight="false" outlineLevel="0" collapsed="false">
      <c r="A48" s="27" t="s">
        <v>34</v>
      </c>
    </row>
  </sheetData>
  <mergeCells count="11">
    <mergeCell ref="B8:D8"/>
    <mergeCell ref="B9:D9"/>
    <mergeCell ref="B10:D10"/>
    <mergeCell ref="B11:D11"/>
    <mergeCell ref="B12:D12"/>
    <mergeCell ref="B37:D37"/>
    <mergeCell ref="B38:D38"/>
    <mergeCell ref="B39:D39"/>
    <mergeCell ref="B40:D40"/>
    <mergeCell ref="B41:D41"/>
    <mergeCell ref="A47:D47"/>
  </mergeCells>
  <conditionalFormatting sqref="A11">
    <cfRule type="expression" priority="2" aboveAverage="0" equalAverage="0" bottom="0" percent="0" rank="0" text="" dxfId="0">
      <formula>A11&gt;0</formula>
    </cfRule>
  </conditionalFormatting>
  <conditionalFormatting sqref="A17:D26">
    <cfRule type="expression" priority="3" aboveAverage="0" equalAverage="0" bottom="0" percent="0" rank="0" text="" dxfId="1">
      <formula>AND(ISNUMBER($A17),$A17-TODAY()&lt;=2)</formula>
    </cfRule>
  </conditionalFormatting>
  <hyperlinks>
    <hyperlink ref="A48" r:id="rId1" display="serenainmente.it/guide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28"/>
  </cols>
  <sheetData>
    <row r="1" customFormat="false" ht="27.75" hidden="false" customHeight="true" outlineLevel="0" collapsed="false">
      <c r="A1" s="28" t="s">
        <v>35</v>
      </c>
    </row>
    <row r="2" customFormat="false" ht="15" hidden="false" customHeight="false" outlineLevel="0" collapsed="false">
      <c r="A2" s="2" t="s">
        <v>36</v>
      </c>
    </row>
    <row r="4" customFormat="false" ht="31.5" hidden="false" customHeight="true" outlineLevel="0" collapsed="false">
      <c r="A4" s="29" t="s">
        <v>37</v>
      </c>
      <c r="B4" s="29" t="s">
        <v>38</v>
      </c>
      <c r="C4" s="29" t="s">
        <v>39</v>
      </c>
      <c r="D4" s="29" t="s">
        <v>40</v>
      </c>
      <c r="E4" s="29" t="s">
        <v>41</v>
      </c>
      <c r="F4" s="29" t="s">
        <v>42</v>
      </c>
      <c r="G4" s="29" t="s">
        <v>43</v>
      </c>
      <c r="H4" s="29" t="s">
        <v>44</v>
      </c>
      <c r="I4" s="29" t="s">
        <v>45</v>
      </c>
    </row>
    <row r="5" customFormat="false" ht="19.5" hidden="false" customHeight="true" outlineLevel="0" collapsed="false">
      <c r="A5" s="30" t="s">
        <v>46</v>
      </c>
      <c r="B5" s="30" t="s">
        <v>47</v>
      </c>
      <c r="C5" s="31" t="n">
        <v>45365</v>
      </c>
      <c r="D5" s="32" t="str">
        <f aca="true">IF(C5="","",IF(DATEDIF(C5,TODAY(),"y")=0,DATEDIF(C5,TODAY(),"m")&amp;" mesi",DATEDIF(C5,TODAY(),"y")&amp;" anni"))</f>
        <v>2 anni</v>
      </c>
      <c r="E5" s="30" t="s">
        <v>48</v>
      </c>
      <c r="F5" s="30" t="s">
        <v>49</v>
      </c>
      <c r="G5" s="30" t="s">
        <v>50</v>
      </c>
      <c r="H5" s="30" t="s">
        <v>51</v>
      </c>
      <c r="I5" s="33" t="s">
        <v>52</v>
      </c>
    </row>
    <row r="6" customFormat="false" ht="19.5" hidden="false" customHeight="true" outlineLevel="0" collapsed="false">
      <c r="A6" s="34" t="s">
        <v>53</v>
      </c>
      <c r="B6" s="34" t="s">
        <v>54</v>
      </c>
      <c r="C6" s="35" t="n">
        <v>33118</v>
      </c>
      <c r="D6" s="32" t="str">
        <f aca="true">IF(C6="","",IF(DATEDIF(C6,TODAY(),"y")=0,DATEDIF(C6,TODAY(),"m")&amp;" mesi",DATEDIF(C6,TODAY(),"y")&amp;" anni"))</f>
        <v>36 anni</v>
      </c>
      <c r="E6" s="34" t="s">
        <v>55</v>
      </c>
      <c r="F6" s="34"/>
      <c r="G6" s="34"/>
      <c r="H6" s="34" t="s">
        <v>56</v>
      </c>
      <c r="I6" s="34"/>
    </row>
    <row r="7" customFormat="false" ht="19.5" hidden="false" customHeight="true" outlineLevel="0" collapsed="false">
      <c r="A7" s="30"/>
      <c r="B7" s="30"/>
      <c r="C7" s="31"/>
      <c r="D7" s="32" t="str">
        <f aca="true">IF(C7="","",IF(DATEDIF(C7,TODAY(),"y")=0,DATEDIF(C7,TODAY(),"m")&amp;" mesi",DATEDIF(C7,TODAY(),"y")&amp;" anni"))</f>
        <v/>
      </c>
      <c r="E7" s="30"/>
      <c r="F7" s="30"/>
      <c r="G7" s="30"/>
      <c r="H7" s="30"/>
      <c r="I7" s="30"/>
    </row>
    <row r="8" customFormat="false" ht="19.5" hidden="false" customHeight="true" outlineLevel="0" collapsed="false">
      <c r="A8" s="34"/>
      <c r="B8" s="34"/>
      <c r="C8" s="35"/>
      <c r="D8" s="32" t="str">
        <f aca="true">IF(C8="","",IF(DATEDIF(C8,TODAY(),"y")=0,DATEDIF(C8,TODAY(),"m")&amp;" mesi",DATEDIF(C8,TODAY(),"y")&amp;" anni"))</f>
        <v/>
      </c>
      <c r="E8" s="34"/>
      <c r="F8" s="34"/>
      <c r="G8" s="34"/>
      <c r="H8" s="34"/>
      <c r="I8" s="34"/>
    </row>
    <row r="9" customFormat="false" ht="19.5" hidden="false" customHeight="true" outlineLevel="0" collapsed="false">
      <c r="A9" s="30"/>
      <c r="B9" s="30"/>
      <c r="C9" s="31"/>
      <c r="D9" s="32" t="str">
        <f aca="true">IF(C9="","",IF(DATEDIF(C9,TODAY(),"y")=0,DATEDIF(C9,TODAY(),"m")&amp;" mesi",DATEDIF(C9,TODAY(),"y")&amp;" anni"))</f>
        <v/>
      </c>
      <c r="E9" s="30"/>
      <c r="F9" s="30"/>
      <c r="G9" s="30"/>
      <c r="H9" s="30"/>
      <c r="I9" s="30"/>
    </row>
    <row r="10" customFormat="false" ht="19.5" hidden="false" customHeight="true" outlineLevel="0" collapsed="false">
      <c r="A10" s="34"/>
      <c r="B10" s="34"/>
      <c r="C10" s="35"/>
      <c r="D10" s="32" t="str">
        <f aca="true">IF(C10="","",IF(DATEDIF(C10,TODAY(),"y")=0,DATEDIF(C10,TODAY(),"m")&amp;" mesi",DATEDIF(C10,TODAY(),"y")&amp;" anni"))</f>
        <v/>
      </c>
      <c r="E10" s="34"/>
      <c r="F10" s="34"/>
      <c r="G10" s="34"/>
      <c r="H10" s="34"/>
      <c r="I10" s="34"/>
    </row>
    <row r="11" customFormat="false" ht="19.5" hidden="false" customHeight="true" outlineLevel="0" collapsed="false">
      <c r="A11" s="30"/>
      <c r="B11" s="30"/>
      <c r="C11" s="31"/>
      <c r="D11" s="32" t="str">
        <f aca="true">IF(C11="","",IF(DATEDIF(C11,TODAY(),"y")=0,DATEDIF(C11,TODAY(),"m")&amp;" mesi",DATEDIF(C11,TODAY(),"y")&amp;" anni"))</f>
        <v/>
      </c>
      <c r="E11" s="30"/>
      <c r="F11" s="30"/>
      <c r="G11" s="30"/>
      <c r="H11" s="30"/>
      <c r="I11" s="30"/>
    </row>
    <row r="12" customFormat="false" ht="19.5" hidden="false" customHeight="true" outlineLevel="0" collapsed="false">
      <c r="A12" s="34"/>
      <c r="B12" s="34"/>
      <c r="C12" s="35"/>
      <c r="D12" s="32" t="str">
        <f aca="true">IF(C12="","",IF(DATEDIF(C12,TODAY(),"y")=0,DATEDIF(C12,TODAY(),"m")&amp;" mesi",DATEDIF(C12,TODAY(),"y")&amp;" anni"))</f>
        <v/>
      </c>
      <c r="E12" s="34"/>
      <c r="F12" s="34"/>
      <c r="G12" s="34"/>
      <c r="H12" s="34"/>
      <c r="I12" s="34"/>
    </row>
    <row r="13" customFormat="false" ht="19.5" hidden="false" customHeight="true" outlineLevel="0" collapsed="false">
      <c r="A13" s="30"/>
      <c r="B13" s="30"/>
      <c r="C13" s="31"/>
      <c r="D13" s="32" t="str">
        <f aca="true">IF(C13="","",IF(DATEDIF(C13,TODAY(),"y")=0,DATEDIF(C13,TODAY(),"m")&amp;" mesi",DATEDIF(C13,TODAY(),"y")&amp;" anni"))</f>
        <v/>
      </c>
      <c r="E13" s="30"/>
      <c r="F13" s="30"/>
      <c r="G13" s="30"/>
      <c r="H13" s="30"/>
      <c r="I13" s="30"/>
    </row>
    <row r="14" customFormat="false" ht="19.5" hidden="false" customHeight="true" outlineLevel="0" collapsed="false">
      <c r="A14" s="34"/>
      <c r="B14" s="34"/>
      <c r="C14" s="35"/>
      <c r="D14" s="32" t="str">
        <f aca="true">IF(C14="","",IF(DATEDIF(C14,TODAY(),"y")=0,DATEDIF(C14,TODAY(),"m")&amp;" mesi",DATEDIF(C14,TODAY(),"y")&amp;" anni"))</f>
        <v/>
      </c>
      <c r="E14" s="34"/>
      <c r="F14" s="34"/>
      <c r="G14" s="34"/>
      <c r="H14" s="34"/>
      <c r="I14" s="34"/>
    </row>
    <row r="15" customFormat="false" ht="19.5" hidden="false" customHeight="true" outlineLevel="0" collapsed="false">
      <c r="A15" s="30"/>
      <c r="B15" s="30"/>
      <c r="C15" s="31"/>
      <c r="D15" s="32" t="str">
        <f aca="true">IF(C15="","",IF(DATEDIF(C15,TODAY(),"y")=0,DATEDIF(C15,TODAY(),"m")&amp;" mesi",DATEDIF(C15,TODAY(),"y")&amp;" anni"))</f>
        <v/>
      </c>
      <c r="E15" s="30"/>
      <c r="F15" s="30"/>
      <c r="G15" s="30"/>
      <c r="H15" s="30"/>
      <c r="I15" s="30"/>
    </row>
    <row r="16" customFormat="false" ht="19.5" hidden="false" customHeight="true" outlineLevel="0" collapsed="false">
      <c r="A16" s="34"/>
      <c r="B16" s="34"/>
      <c r="C16" s="35"/>
      <c r="D16" s="32" t="str">
        <f aca="true">IF(C16="","",IF(DATEDIF(C16,TODAY(),"y")=0,DATEDIF(C16,TODAY(),"m")&amp;" mesi",DATEDIF(C16,TODAY(),"y")&amp;" anni"))</f>
        <v/>
      </c>
      <c r="E16" s="34"/>
      <c r="F16" s="34"/>
      <c r="G16" s="34"/>
      <c r="H16" s="34"/>
      <c r="I16" s="34"/>
    </row>
    <row r="17" customFormat="false" ht="19.5" hidden="false" customHeight="true" outlineLevel="0" collapsed="false">
      <c r="A17" s="30"/>
      <c r="B17" s="30"/>
      <c r="C17" s="31"/>
      <c r="D17" s="32" t="str">
        <f aca="true">IF(C17="","",IF(DATEDIF(C17,TODAY(),"y")=0,DATEDIF(C17,TODAY(),"m")&amp;" mesi",DATEDIF(C17,TODAY(),"y")&amp;" anni"))</f>
        <v/>
      </c>
      <c r="E17" s="30"/>
      <c r="F17" s="30"/>
      <c r="G17" s="30"/>
      <c r="H17" s="30"/>
      <c r="I17" s="30"/>
    </row>
    <row r="18" customFormat="false" ht="19.5" hidden="false" customHeight="true" outlineLevel="0" collapsed="false">
      <c r="A18" s="34"/>
      <c r="B18" s="34"/>
      <c r="C18" s="35"/>
      <c r="D18" s="32" t="str">
        <f aca="true">IF(C18="","",IF(DATEDIF(C18,TODAY(),"y")=0,DATEDIF(C18,TODAY(),"m")&amp;" mesi",DATEDIF(C18,TODAY(),"y")&amp;" anni"))</f>
        <v/>
      </c>
      <c r="E18" s="34"/>
      <c r="F18" s="34"/>
      <c r="G18" s="34"/>
      <c r="H18" s="34"/>
      <c r="I18" s="34"/>
    </row>
    <row r="19" customFormat="false" ht="19.5" hidden="false" customHeight="true" outlineLevel="0" collapsed="false">
      <c r="A19" s="30"/>
      <c r="B19" s="30"/>
      <c r="C19" s="31"/>
      <c r="D19" s="32" t="str">
        <f aca="true">IF(C19="","",IF(DATEDIF(C19,TODAY(),"y")=0,DATEDIF(C19,TODAY(),"m")&amp;" mesi",DATEDIF(C19,TODAY(),"y")&amp;" anni"))</f>
        <v/>
      </c>
      <c r="E19" s="30"/>
      <c r="F19" s="30"/>
      <c r="G19" s="30"/>
      <c r="H19" s="30"/>
      <c r="I19" s="30"/>
    </row>
    <row r="20" customFormat="false" ht="19.5" hidden="false" customHeight="true" outlineLevel="0" collapsed="false">
      <c r="A20" s="34"/>
      <c r="B20" s="34"/>
      <c r="C20" s="35"/>
      <c r="D20" s="32" t="str">
        <f aca="true">IF(C20="","",IF(DATEDIF(C20,TODAY(),"y")=0,DATEDIF(C20,TODAY(),"m")&amp;" mesi",DATEDIF(C20,TODAY(),"y")&amp;" anni"))</f>
        <v/>
      </c>
      <c r="E20" s="34"/>
      <c r="F20" s="34"/>
      <c r="G20" s="34"/>
      <c r="H20" s="34"/>
      <c r="I20" s="34"/>
    </row>
    <row r="21" customFormat="false" ht="19.5" hidden="false" customHeight="true" outlineLevel="0" collapsed="false">
      <c r="A21" s="30"/>
      <c r="B21" s="30"/>
      <c r="C21" s="31"/>
      <c r="D21" s="32" t="str">
        <f aca="true">IF(C21="","",IF(DATEDIF(C21,TODAY(),"y")=0,DATEDIF(C21,TODAY(),"m")&amp;" mesi",DATEDIF(C21,TODAY(),"y")&amp;" anni"))</f>
        <v/>
      </c>
      <c r="E21" s="30"/>
      <c r="F21" s="30"/>
      <c r="G21" s="30"/>
      <c r="H21" s="30"/>
      <c r="I21" s="30"/>
    </row>
    <row r="22" customFormat="false" ht="19.5" hidden="false" customHeight="true" outlineLevel="0" collapsed="false">
      <c r="A22" s="34"/>
      <c r="B22" s="34"/>
      <c r="C22" s="35"/>
      <c r="D22" s="32" t="str">
        <f aca="true">IF(C22="","",IF(DATEDIF(C22,TODAY(),"y")=0,DATEDIF(C22,TODAY(),"m")&amp;" mesi",DATEDIF(C22,TODAY(),"y")&amp;" anni"))</f>
        <v/>
      </c>
      <c r="E22" s="34"/>
      <c r="F22" s="34"/>
      <c r="G22" s="34"/>
      <c r="H22" s="34"/>
      <c r="I22" s="34"/>
    </row>
    <row r="23" customFormat="false" ht="19.5" hidden="false" customHeight="true" outlineLevel="0" collapsed="false">
      <c r="A23" s="30"/>
      <c r="B23" s="30"/>
      <c r="C23" s="31"/>
      <c r="D23" s="32" t="str">
        <f aca="true">IF(C23="","",IF(DATEDIF(C23,TODAY(),"y")=0,DATEDIF(C23,TODAY(),"m")&amp;" mesi",DATEDIF(C23,TODAY(),"y")&amp;" anni"))</f>
        <v/>
      </c>
      <c r="E23" s="30"/>
      <c r="F23" s="30"/>
      <c r="G23" s="30"/>
      <c r="H23" s="30"/>
      <c r="I23" s="30"/>
    </row>
    <row r="24" customFormat="false" ht="19.5" hidden="false" customHeight="true" outlineLevel="0" collapsed="false">
      <c r="A24" s="34"/>
      <c r="B24" s="34"/>
      <c r="C24" s="35"/>
      <c r="D24" s="32" t="str">
        <f aca="true">IF(C24="","",IF(DATEDIF(C24,TODAY(),"y")=0,DATEDIF(C24,TODAY(),"m")&amp;" mesi",DATEDIF(C24,TODAY(),"y")&amp;" anni"))</f>
        <v/>
      </c>
      <c r="E24" s="34"/>
      <c r="F24" s="34"/>
      <c r="G24" s="34"/>
      <c r="H24" s="34"/>
      <c r="I24" s="34"/>
    </row>
    <row r="25" customFormat="false" ht="19.5" hidden="false" customHeight="true" outlineLevel="0" collapsed="false">
      <c r="A25" s="30"/>
      <c r="B25" s="30"/>
      <c r="C25" s="31"/>
      <c r="D25" s="32" t="str">
        <f aca="true">IF(C25="","",IF(DATEDIF(C25,TODAY(),"y")=0,DATEDIF(C25,TODAY(),"m")&amp;" mesi",DATEDIF(C25,TODAY(),"y")&amp;" anni"))</f>
        <v/>
      </c>
      <c r="E25" s="30"/>
      <c r="F25" s="30"/>
      <c r="G25" s="30"/>
      <c r="H25" s="30"/>
      <c r="I25" s="30"/>
    </row>
    <row r="26" customFormat="false" ht="19.5" hidden="false" customHeight="true" outlineLevel="0" collapsed="false">
      <c r="A26" s="34"/>
      <c r="B26" s="34"/>
      <c r="C26" s="35"/>
      <c r="D26" s="32" t="str">
        <f aca="true">IF(C26="","",IF(DATEDIF(C26,TODAY(),"y")=0,DATEDIF(C26,TODAY(),"m")&amp;" mesi",DATEDIF(C26,TODAY(),"y")&amp;" anni"))</f>
        <v/>
      </c>
      <c r="E26" s="34"/>
      <c r="F26" s="34"/>
      <c r="G26" s="34"/>
      <c r="H26" s="34"/>
      <c r="I26" s="34"/>
    </row>
    <row r="27" customFormat="false" ht="19.5" hidden="false" customHeight="true" outlineLevel="0" collapsed="false">
      <c r="A27" s="30"/>
      <c r="B27" s="30"/>
      <c r="C27" s="31"/>
      <c r="D27" s="32" t="str">
        <f aca="true">IF(C27="","",IF(DATEDIF(C27,TODAY(),"y")=0,DATEDIF(C27,TODAY(),"m")&amp;" mesi",DATEDIF(C27,TODAY(),"y")&amp;" anni"))</f>
        <v/>
      </c>
      <c r="E27" s="30"/>
      <c r="F27" s="30"/>
      <c r="G27" s="30"/>
      <c r="H27" s="30"/>
      <c r="I27" s="30"/>
    </row>
    <row r="28" customFormat="false" ht="19.5" hidden="false" customHeight="true" outlineLevel="0" collapsed="false">
      <c r="A28" s="34"/>
      <c r="B28" s="34"/>
      <c r="C28" s="35"/>
      <c r="D28" s="32" t="str">
        <f aca="true">IF(C28="","",IF(DATEDIF(C28,TODAY(),"y")=0,DATEDIF(C28,TODAY(),"m")&amp;" mesi",DATEDIF(C28,TODAY(),"y")&amp;" anni"))</f>
        <v/>
      </c>
      <c r="E28" s="34"/>
      <c r="F28" s="34"/>
      <c r="G28" s="34"/>
      <c r="H28" s="34"/>
      <c r="I28" s="34"/>
    </row>
    <row r="29" customFormat="false" ht="19.5" hidden="false" customHeight="true" outlineLevel="0" collapsed="false">
      <c r="A29" s="30"/>
      <c r="B29" s="30"/>
      <c r="C29" s="31"/>
      <c r="D29" s="32" t="str">
        <f aca="true">IF(C29="","",IF(DATEDIF(C29,TODAY(),"y")=0,DATEDIF(C29,TODAY(),"m")&amp;" mesi",DATEDIF(C29,TODAY(),"y")&amp;" anni"))</f>
        <v/>
      </c>
      <c r="E29" s="30"/>
      <c r="F29" s="30"/>
      <c r="G29" s="30"/>
      <c r="H29" s="30"/>
      <c r="I29" s="30"/>
    </row>
    <row r="30" customFormat="false" ht="19.5" hidden="false" customHeight="true" outlineLevel="0" collapsed="false">
      <c r="A30" s="34"/>
      <c r="B30" s="34"/>
      <c r="C30" s="35"/>
      <c r="D30" s="32" t="str">
        <f aca="true">IF(C30="","",IF(DATEDIF(C30,TODAY(),"y")=0,DATEDIF(C30,TODAY(),"m")&amp;" mesi",DATEDIF(C30,TODAY(),"y")&amp;" anni"))</f>
        <v/>
      </c>
      <c r="E30" s="34"/>
      <c r="F30" s="34"/>
      <c r="G30" s="34"/>
      <c r="H30" s="34"/>
      <c r="I30" s="34"/>
    </row>
    <row r="31" customFormat="false" ht="19.5" hidden="false" customHeight="true" outlineLevel="0" collapsed="false">
      <c r="A31" s="30"/>
      <c r="B31" s="30"/>
      <c r="C31" s="31"/>
      <c r="D31" s="32" t="str">
        <f aca="true">IF(C31="","",IF(DATEDIF(C31,TODAY(),"y")=0,DATEDIF(C31,TODAY(),"m")&amp;" mesi",DATEDIF(C31,TODAY(),"y")&amp;" anni"))</f>
        <v/>
      </c>
      <c r="E31" s="30"/>
      <c r="F31" s="30"/>
      <c r="G31" s="30"/>
      <c r="H31" s="30"/>
      <c r="I31" s="30"/>
    </row>
    <row r="32" customFormat="false" ht="19.5" hidden="false" customHeight="true" outlineLevel="0" collapsed="false">
      <c r="A32" s="34"/>
      <c r="B32" s="34"/>
      <c r="C32" s="35"/>
      <c r="D32" s="32" t="str">
        <f aca="true">IF(C32="","",IF(DATEDIF(C32,TODAY(),"y")=0,DATEDIF(C32,TODAY(),"m")&amp;" mesi",DATEDIF(C32,TODAY(),"y")&amp;" anni"))</f>
        <v/>
      </c>
      <c r="E32" s="34"/>
      <c r="F32" s="34"/>
      <c r="G32" s="34"/>
      <c r="H32" s="34"/>
      <c r="I32" s="34"/>
    </row>
    <row r="33" customFormat="false" ht="19.5" hidden="false" customHeight="true" outlineLevel="0" collapsed="false">
      <c r="A33" s="30"/>
      <c r="B33" s="30"/>
      <c r="C33" s="31"/>
      <c r="D33" s="32" t="str">
        <f aca="true">IF(C33="","",IF(DATEDIF(C33,TODAY(),"y")=0,DATEDIF(C33,TODAY(),"m")&amp;" mesi",DATEDIF(C33,TODAY(),"y")&amp;" anni"))</f>
        <v/>
      </c>
      <c r="E33" s="30"/>
      <c r="F33" s="30"/>
      <c r="G33" s="30"/>
      <c r="H33" s="30"/>
      <c r="I33" s="30"/>
    </row>
    <row r="34" customFormat="false" ht="19.5" hidden="false" customHeight="true" outlineLevel="0" collapsed="false">
      <c r="A34" s="34"/>
      <c r="B34" s="34"/>
      <c r="C34" s="35"/>
      <c r="D34" s="32" t="str">
        <f aca="true">IF(C34="","",IF(DATEDIF(C34,TODAY(),"y")=0,DATEDIF(C34,TODAY(),"m")&amp;" mesi",DATEDIF(C34,TODAY(),"y")&amp;" anni"))</f>
        <v/>
      </c>
      <c r="E34" s="34"/>
      <c r="F34" s="34"/>
      <c r="G34" s="34"/>
      <c r="H34" s="34"/>
      <c r="I34" s="34"/>
    </row>
    <row r="36" customFormat="false" ht="15" hidden="false" customHeight="false" outlineLevel="0" collapsed="false">
      <c r="A36" s="36" t="s">
        <v>57</v>
      </c>
    </row>
  </sheetData>
  <dataValidations count="3">
    <dataValidation allowBlank="true" errorStyle="stop" operator="between" showDropDown="false" showErrorMessage="true" showInputMessage="false" sqref="B5:B34" type="list">
      <formula1>"Mamma,Papà,Figlio/a,Nonno/a,Altra persona di cui mi occupo,Altro"</formula1>
      <formula2>0</formula2>
    </dataValidation>
    <dataValidation allowBlank="true" errorStyle="stop" operator="between" showDropDown="false" showErrorMessage="true" showInputMessage="false" sqref="G5:G34" type="list">
      <formula1>"Non so,0+,0-,A+,A-,B+,B-,AB+,AB-"</formula1>
      <formula2>0</formula2>
    </dataValidation>
    <dataValidation allowBlank="true" errorStyle="stop" operator="between" showDropDown="false" showErrorMessage="true" showInputMessage="false" sqref="H5:H34" type="list">
      <formula1>"Attivo con consenso,Attivo senza consenso,Da attivare (figlio),Non so"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16"/>
    <col collapsed="false" customWidth="true" hidden="false" outlineLevel="0" max="8" min="8" style="0" width="8"/>
    <col collapsed="false" customWidth="true" hidden="false" outlineLevel="0" max="9" min="9" style="0" width="16"/>
    <col collapsed="false" customWidth="true" hidden="false" outlineLevel="0" max="10" min="10" style="0" width="11"/>
    <col collapsed="false" customWidth="true" hidden="false" outlineLevel="0" max="11" min="11" style="0" width="30"/>
    <col collapsed="false" customWidth="true" hidden="true" outlineLevel="0" max="12" min="12" style="0" width="6"/>
  </cols>
  <sheetData>
    <row r="1" customFormat="false" ht="27.75" hidden="false" customHeight="true" outlineLevel="0" collapsed="false">
      <c r="A1" s="28" t="s">
        <v>58</v>
      </c>
    </row>
    <row r="2" customFormat="false" ht="15" hidden="false" customHeight="false" outlineLevel="0" collapsed="false">
      <c r="A2" s="2" t="s">
        <v>59</v>
      </c>
    </row>
    <row r="4" customFormat="false" ht="31.5" hidden="false" customHeight="true" outlineLevel="0" collapsed="false">
      <c r="A4" s="29" t="s">
        <v>12</v>
      </c>
      <c r="B4" s="29" t="s">
        <v>13</v>
      </c>
      <c r="C4" s="29" t="s">
        <v>60</v>
      </c>
      <c r="D4" s="29" t="s">
        <v>61</v>
      </c>
      <c r="E4" s="29" t="s">
        <v>62</v>
      </c>
      <c r="F4" s="29" t="s">
        <v>63</v>
      </c>
      <c r="G4" s="29" t="s">
        <v>64</v>
      </c>
      <c r="H4" s="29" t="s">
        <v>65</v>
      </c>
      <c r="I4" s="29" t="s">
        <v>66</v>
      </c>
      <c r="J4" s="29" t="s">
        <v>67</v>
      </c>
      <c r="K4" s="29" t="s">
        <v>45</v>
      </c>
      <c r="L4" s="29" t="s">
        <v>68</v>
      </c>
    </row>
    <row r="5" customFormat="false" ht="19.5" hidden="false" customHeight="true" outlineLevel="0" collapsed="false">
      <c r="A5" s="30" t="s">
        <v>69</v>
      </c>
      <c r="B5" s="30" t="s">
        <v>46</v>
      </c>
      <c r="C5" s="31" t="n">
        <v>46334</v>
      </c>
      <c r="D5" s="30" t="s">
        <v>70</v>
      </c>
      <c r="E5" s="37" t="n">
        <f aca="true">IF(C5="","",IF(OR(L5=0,C5&gt;=TODAY()),C5,IF(EDATE(C5,INT(((YEAR(TODAY())-YEAR(C5))*12+MONTH(TODAY())-MONTH(C5))/L5)*L5)&gt;=TODAY(),EDATE(C5,INT(((YEAR(TODAY())-YEAR(C5))*12+MONTH(TODAY())-MONTH(C5))/L5)*L5),EDATE(C5,(INT(((YEAR(TODAY())-YEAR(C5))*12+MONTH(TODAY())-MONTH(C5))/L5)+1)*L5))))</f>
        <v>46334</v>
      </c>
      <c r="F5" s="38" t="n">
        <f aca="true">IF(OR(E5="",H5="☑"),"",E5-TODAY())</f>
        <v>21</v>
      </c>
      <c r="G5" s="32" t="str">
        <f aca="false">IF(H5="☑","Fatto",IF(E5="","",IF(F5&lt;0,"Scaduta",IF(F5&lt;=7,"Questa settimana",IF(F5&lt;=30,"Entro 30 giorni","Più avanti")))))</f>
        <v>Entro 30 giorni</v>
      </c>
      <c r="H5" s="39" t="s">
        <v>71</v>
      </c>
      <c r="I5" s="30" t="s">
        <v>72</v>
      </c>
      <c r="J5" s="30" t="s">
        <v>73</v>
      </c>
      <c r="K5" s="33" t="s">
        <v>52</v>
      </c>
      <c r="L5" s="32" t="n">
        <f aca="false">IF(D5="Ogni mese",1,IF(D5="Ogni 3 mesi",3,IF(D5="Ogni 6 mesi",6,IF(D5="Ogni anno",12,0))))</f>
        <v>0</v>
      </c>
    </row>
    <row r="6" customFormat="false" ht="19.5" hidden="false" customHeight="true" outlineLevel="0" collapsed="false">
      <c r="A6" s="34" t="s">
        <v>74</v>
      </c>
      <c r="B6" s="34" t="s">
        <v>46</v>
      </c>
      <c r="C6" s="35" t="n">
        <v>46273</v>
      </c>
      <c r="D6" s="34" t="s">
        <v>75</v>
      </c>
      <c r="E6" s="37" t="n">
        <f aca="true">IF(C6="","",IF(OR(L6=0,C6&gt;=TODAY()),C6,IF(EDATE(C6,INT(((YEAR(TODAY())-YEAR(C6))*12+MONTH(TODAY())-MONTH(C6))/L6)*L6)&gt;=TODAY(),EDATE(C6,INT(((YEAR(TODAY())-YEAR(C6))*12+MONTH(TODAY())-MONTH(C6))/L6)*L6),EDATE(C6,(INT(((YEAR(TODAY())-YEAR(C6))*12+MONTH(TODAY())-MONTH(C6))/L6)+1)*L6))))</f>
        <v>46334</v>
      </c>
      <c r="F6" s="38" t="n">
        <f aca="true">IF(OR(E6="",H6="☑"),"",E6-TODAY())</f>
        <v>21</v>
      </c>
      <c r="G6" s="32" t="str">
        <f aca="false">IF(H6="☑","Fatto",IF(E6="","",IF(F6&lt;0,"Scaduta",IF(F6&lt;=7,"Questa settimana",IF(F6&lt;=30,"Entro 30 giorni","Più avanti")))))</f>
        <v>Entro 30 giorni</v>
      </c>
      <c r="H6" s="40" t="s">
        <v>71</v>
      </c>
      <c r="I6" s="34" t="s">
        <v>53</v>
      </c>
      <c r="J6" s="34" t="s">
        <v>76</v>
      </c>
      <c r="K6" s="41" t="s">
        <v>77</v>
      </c>
      <c r="L6" s="32" t="n">
        <f aca="false">IF(D6="Ogni mese",1,IF(D6="Ogni 3 mesi",3,IF(D6="Ogni 6 mesi",6,IF(D6="Ogni anno",12,0))))</f>
        <v>1</v>
      </c>
    </row>
    <row r="7" customFormat="false" ht="19.5" hidden="false" customHeight="true" outlineLevel="0" collapsed="false">
      <c r="A7" s="30" t="s">
        <v>78</v>
      </c>
      <c r="B7" s="30" t="s">
        <v>46</v>
      </c>
      <c r="C7" s="31" t="n">
        <v>46303</v>
      </c>
      <c r="D7" s="30" t="s">
        <v>70</v>
      </c>
      <c r="E7" s="37" t="n">
        <f aca="true">IF(C7="","",IF(OR(L7=0,C7&gt;=TODAY()),C7,IF(EDATE(C7,INT(((YEAR(TODAY())-YEAR(C7))*12+MONTH(TODAY())-MONTH(C7))/L7)*L7)&gt;=TODAY(),EDATE(C7,INT(((YEAR(TODAY())-YEAR(C7))*12+MONTH(TODAY())-MONTH(C7))/L7)*L7),EDATE(C7,(INT(((YEAR(TODAY())-YEAR(C7))*12+MONTH(TODAY())-MONTH(C7))/L7)+1)*L7))))</f>
        <v>46303</v>
      </c>
      <c r="F7" s="38" t="str">
        <f aca="true">IF(OR(E7="",H7="☑"),"",E7-TODAY())</f>
        <v/>
      </c>
      <c r="G7" s="32" t="str">
        <f aca="false">IF(H7="☑","Fatto",IF(E7="","",IF(F7&lt;0,"Scaduta",IF(F7&lt;=7,"Questa settimana",IF(F7&lt;=30,"Entro 30 giorni","Più avanti")))))</f>
        <v>Fatto</v>
      </c>
      <c r="H7" s="39" t="s">
        <v>79</v>
      </c>
      <c r="I7" s="30" t="s">
        <v>53</v>
      </c>
      <c r="J7" s="30" t="s">
        <v>76</v>
      </c>
      <c r="K7" s="33" t="s">
        <v>80</v>
      </c>
      <c r="L7" s="32" t="n">
        <f aca="false">IF(D7="Ogni mese",1,IF(D7="Ogni 3 mesi",3,IF(D7="Ogni 6 mesi",6,IF(D7="Ogni anno",12,0))))</f>
        <v>0</v>
      </c>
    </row>
    <row r="8" customFormat="false" ht="19.5" hidden="false" customHeight="true" outlineLevel="0" collapsed="false">
      <c r="A8" s="34"/>
      <c r="B8" s="34"/>
      <c r="C8" s="35"/>
      <c r="D8" s="34"/>
      <c r="E8" s="37" t="str">
        <f aca="true">IF(C8="","",IF(OR(L8=0,C8&gt;=TODAY()),C8,IF(EDATE(C8,INT(((YEAR(TODAY())-YEAR(C8))*12+MONTH(TODAY())-MONTH(C8))/L8)*L8)&gt;=TODAY(),EDATE(C8,INT(((YEAR(TODAY())-YEAR(C8))*12+MONTH(TODAY())-MONTH(C8))/L8)*L8),EDATE(C8,(INT(((YEAR(TODAY())-YEAR(C8))*12+MONTH(TODAY())-MONTH(C8))/L8)+1)*L8))))</f>
        <v/>
      </c>
      <c r="F8" s="38" t="str">
        <f aca="true">IF(OR(E8="",H8="☑"),"",E8-TODAY())</f>
        <v/>
      </c>
      <c r="G8" s="32" t="str">
        <f aca="false">IF(H8="☑","Fatto",IF(E8="","",IF(F8&lt;0,"Scaduta",IF(F8&lt;=7,"Questa settimana",IF(F8&lt;=30,"Entro 30 giorni","Più avanti")))))</f>
        <v/>
      </c>
      <c r="H8" s="40"/>
      <c r="I8" s="34"/>
      <c r="J8" s="34"/>
      <c r="K8" s="34"/>
      <c r="L8" s="32" t="n">
        <f aca="false">IF(D8="Ogni mese",1,IF(D8="Ogni 3 mesi",3,IF(D8="Ogni 6 mesi",6,IF(D8="Ogni anno",12,0))))</f>
        <v>0</v>
      </c>
    </row>
    <row r="9" customFormat="false" ht="19.5" hidden="false" customHeight="true" outlineLevel="0" collapsed="false">
      <c r="A9" s="30"/>
      <c r="B9" s="30"/>
      <c r="C9" s="31"/>
      <c r="D9" s="30"/>
      <c r="E9" s="37" t="str">
        <f aca="true">IF(C9="","",IF(OR(L9=0,C9&gt;=TODAY()),C9,IF(EDATE(C9,INT(((YEAR(TODAY())-YEAR(C9))*12+MONTH(TODAY())-MONTH(C9))/L9)*L9)&gt;=TODAY(),EDATE(C9,INT(((YEAR(TODAY())-YEAR(C9))*12+MONTH(TODAY())-MONTH(C9))/L9)*L9),EDATE(C9,(INT(((YEAR(TODAY())-YEAR(C9))*12+MONTH(TODAY())-MONTH(C9))/L9)+1)*L9))))</f>
        <v/>
      </c>
      <c r="F9" s="38" t="str">
        <f aca="true">IF(OR(E9="",H9="☑"),"",E9-TODAY())</f>
        <v/>
      </c>
      <c r="G9" s="32" t="str">
        <f aca="false">IF(H9="☑","Fatto",IF(E9="","",IF(F9&lt;0,"Scaduta",IF(F9&lt;=7,"Questa settimana",IF(F9&lt;=30,"Entro 30 giorni","Più avanti")))))</f>
        <v/>
      </c>
      <c r="H9" s="39"/>
      <c r="I9" s="30"/>
      <c r="J9" s="30"/>
      <c r="K9" s="30"/>
      <c r="L9" s="32" t="n">
        <f aca="false">IF(D9="Ogni mese",1,IF(D9="Ogni 3 mesi",3,IF(D9="Ogni 6 mesi",6,IF(D9="Ogni anno",12,0))))</f>
        <v>0</v>
      </c>
    </row>
    <row r="10" customFormat="false" ht="19.5" hidden="false" customHeight="true" outlineLevel="0" collapsed="false">
      <c r="A10" s="34"/>
      <c r="B10" s="34"/>
      <c r="C10" s="35"/>
      <c r="D10" s="34"/>
      <c r="E10" s="37" t="str">
        <f aca="true">IF(C10="","",IF(OR(L10=0,C10&gt;=TODAY()),C10,IF(EDATE(C10,INT(((YEAR(TODAY())-YEAR(C10))*12+MONTH(TODAY())-MONTH(C10))/L10)*L10)&gt;=TODAY(),EDATE(C10,INT(((YEAR(TODAY())-YEAR(C10))*12+MONTH(TODAY())-MONTH(C10))/L10)*L10),EDATE(C10,(INT(((YEAR(TODAY())-YEAR(C10))*12+MONTH(TODAY())-MONTH(C10))/L10)+1)*L10))))</f>
        <v/>
      </c>
      <c r="F10" s="38" t="str">
        <f aca="true">IF(OR(E10="",H10="☑"),"",E10-TODAY())</f>
        <v/>
      </c>
      <c r="G10" s="32" t="str">
        <f aca="false">IF(H10="☑","Fatto",IF(E10="","",IF(F10&lt;0,"Scaduta",IF(F10&lt;=7,"Questa settimana",IF(F10&lt;=30,"Entro 30 giorni","Più avanti")))))</f>
        <v/>
      </c>
      <c r="H10" s="40"/>
      <c r="I10" s="34"/>
      <c r="J10" s="34"/>
      <c r="K10" s="34"/>
      <c r="L10" s="32" t="n">
        <f aca="false">IF(D10="Ogni mese",1,IF(D10="Ogni 3 mesi",3,IF(D10="Ogni 6 mesi",6,IF(D10="Ogni anno",12,0))))</f>
        <v>0</v>
      </c>
    </row>
    <row r="11" customFormat="false" ht="19.5" hidden="false" customHeight="true" outlineLevel="0" collapsed="false">
      <c r="A11" s="30"/>
      <c r="B11" s="30"/>
      <c r="C11" s="31"/>
      <c r="D11" s="30"/>
      <c r="E11" s="37" t="str">
        <f aca="true">IF(C11="","",IF(OR(L11=0,C11&gt;=TODAY()),C11,IF(EDATE(C11,INT(((YEAR(TODAY())-YEAR(C11))*12+MONTH(TODAY())-MONTH(C11))/L11)*L11)&gt;=TODAY(),EDATE(C11,INT(((YEAR(TODAY())-YEAR(C11))*12+MONTH(TODAY())-MONTH(C11))/L11)*L11),EDATE(C11,(INT(((YEAR(TODAY())-YEAR(C11))*12+MONTH(TODAY())-MONTH(C11))/L11)+1)*L11))))</f>
        <v/>
      </c>
      <c r="F11" s="38" t="str">
        <f aca="true">IF(OR(E11="",H11="☑"),"",E11-TODAY())</f>
        <v/>
      </c>
      <c r="G11" s="32" t="str">
        <f aca="false">IF(H11="☑","Fatto",IF(E11="","",IF(F11&lt;0,"Scaduta",IF(F11&lt;=7,"Questa settimana",IF(F11&lt;=30,"Entro 30 giorni","Più avanti")))))</f>
        <v/>
      </c>
      <c r="H11" s="39"/>
      <c r="I11" s="30"/>
      <c r="J11" s="30"/>
      <c r="K11" s="30"/>
      <c r="L11" s="32" t="n">
        <f aca="false">IF(D11="Ogni mese",1,IF(D11="Ogni 3 mesi",3,IF(D11="Ogni 6 mesi",6,IF(D11="Ogni anno",12,0))))</f>
        <v>0</v>
      </c>
    </row>
    <row r="12" customFormat="false" ht="19.5" hidden="false" customHeight="true" outlineLevel="0" collapsed="false">
      <c r="A12" s="34"/>
      <c r="B12" s="34"/>
      <c r="C12" s="35"/>
      <c r="D12" s="34"/>
      <c r="E12" s="37" t="str">
        <f aca="true">IF(C12="","",IF(OR(L12=0,C12&gt;=TODAY()),C12,IF(EDATE(C12,INT(((YEAR(TODAY())-YEAR(C12))*12+MONTH(TODAY())-MONTH(C12))/L12)*L12)&gt;=TODAY(),EDATE(C12,INT(((YEAR(TODAY())-YEAR(C12))*12+MONTH(TODAY())-MONTH(C12))/L12)*L12),EDATE(C12,(INT(((YEAR(TODAY())-YEAR(C12))*12+MONTH(TODAY())-MONTH(C12))/L12)+1)*L12))))</f>
        <v/>
      </c>
      <c r="F12" s="38" t="str">
        <f aca="true">IF(OR(E12="",H12="☑"),"",E12-TODAY())</f>
        <v/>
      </c>
      <c r="G12" s="32" t="str">
        <f aca="false">IF(H12="☑","Fatto",IF(E12="","",IF(F12&lt;0,"Scaduta",IF(F12&lt;=7,"Questa settimana",IF(F12&lt;=30,"Entro 30 giorni","Più avanti")))))</f>
        <v/>
      </c>
      <c r="H12" s="40"/>
      <c r="I12" s="34"/>
      <c r="J12" s="34"/>
      <c r="K12" s="34"/>
      <c r="L12" s="32" t="n">
        <f aca="false">IF(D12="Ogni mese",1,IF(D12="Ogni 3 mesi",3,IF(D12="Ogni 6 mesi",6,IF(D12="Ogni anno",12,0))))</f>
        <v>0</v>
      </c>
    </row>
    <row r="13" customFormat="false" ht="19.5" hidden="false" customHeight="true" outlineLevel="0" collapsed="false">
      <c r="A13" s="30"/>
      <c r="B13" s="30"/>
      <c r="C13" s="31"/>
      <c r="D13" s="30"/>
      <c r="E13" s="37" t="str">
        <f aca="true">IF(C13="","",IF(OR(L13=0,C13&gt;=TODAY()),C13,IF(EDATE(C13,INT(((YEAR(TODAY())-YEAR(C13))*12+MONTH(TODAY())-MONTH(C13))/L13)*L13)&gt;=TODAY(),EDATE(C13,INT(((YEAR(TODAY())-YEAR(C13))*12+MONTH(TODAY())-MONTH(C13))/L13)*L13),EDATE(C13,(INT(((YEAR(TODAY())-YEAR(C13))*12+MONTH(TODAY())-MONTH(C13))/L13)+1)*L13))))</f>
        <v/>
      </c>
      <c r="F13" s="38" t="str">
        <f aca="true">IF(OR(E13="",H13="☑"),"",E13-TODAY())</f>
        <v/>
      </c>
      <c r="G13" s="32" t="str">
        <f aca="false">IF(H13="☑","Fatto",IF(E13="","",IF(F13&lt;0,"Scaduta",IF(F13&lt;=7,"Questa settimana",IF(F13&lt;=30,"Entro 30 giorni","Più avanti")))))</f>
        <v/>
      </c>
      <c r="H13" s="39"/>
      <c r="I13" s="30"/>
      <c r="J13" s="30"/>
      <c r="K13" s="30"/>
      <c r="L13" s="32" t="n">
        <f aca="false">IF(D13="Ogni mese",1,IF(D13="Ogni 3 mesi",3,IF(D13="Ogni 6 mesi",6,IF(D13="Ogni anno",12,0))))</f>
        <v>0</v>
      </c>
    </row>
    <row r="14" customFormat="false" ht="19.5" hidden="false" customHeight="true" outlineLevel="0" collapsed="false">
      <c r="A14" s="34"/>
      <c r="B14" s="34"/>
      <c r="C14" s="35"/>
      <c r="D14" s="34"/>
      <c r="E14" s="37" t="str">
        <f aca="true">IF(C14="","",IF(OR(L14=0,C14&gt;=TODAY()),C14,IF(EDATE(C14,INT(((YEAR(TODAY())-YEAR(C14))*12+MONTH(TODAY())-MONTH(C14))/L14)*L14)&gt;=TODAY(),EDATE(C14,INT(((YEAR(TODAY())-YEAR(C14))*12+MONTH(TODAY())-MONTH(C14))/L14)*L14),EDATE(C14,(INT(((YEAR(TODAY())-YEAR(C14))*12+MONTH(TODAY())-MONTH(C14))/L14)+1)*L14))))</f>
        <v/>
      </c>
      <c r="F14" s="38" t="str">
        <f aca="true">IF(OR(E14="",H14="☑"),"",E14-TODAY())</f>
        <v/>
      </c>
      <c r="G14" s="32" t="str">
        <f aca="false">IF(H14="☑","Fatto",IF(E14="","",IF(F14&lt;0,"Scaduta",IF(F14&lt;=7,"Questa settimana",IF(F14&lt;=30,"Entro 30 giorni","Più avanti")))))</f>
        <v/>
      </c>
      <c r="H14" s="40"/>
      <c r="I14" s="34"/>
      <c r="J14" s="34"/>
      <c r="K14" s="34"/>
      <c r="L14" s="32" t="n">
        <f aca="false">IF(D14="Ogni mese",1,IF(D14="Ogni 3 mesi",3,IF(D14="Ogni 6 mesi",6,IF(D14="Ogni anno",12,0))))</f>
        <v>0</v>
      </c>
    </row>
    <row r="15" customFormat="false" ht="19.5" hidden="false" customHeight="true" outlineLevel="0" collapsed="false">
      <c r="A15" s="30"/>
      <c r="B15" s="30"/>
      <c r="C15" s="31"/>
      <c r="D15" s="30"/>
      <c r="E15" s="37" t="str">
        <f aca="true">IF(C15="","",IF(OR(L15=0,C15&gt;=TODAY()),C15,IF(EDATE(C15,INT(((YEAR(TODAY())-YEAR(C15))*12+MONTH(TODAY())-MONTH(C15))/L15)*L15)&gt;=TODAY(),EDATE(C15,INT(((YEAR(TODAY())-YEAR(C15))*12+MONTH(TODAY())-MONTH(C15))/L15)*L15),EDATE(C15,(INT(((YEAR(TODAY())-YEAR(C15))*12+MONTH(TODAY())-MONTH(C15))/L15)+1)*L15))))</f>
        <v/>
      </c>
      <c r="F15" s="38" t="str">
        <f aca="true">IF(OR(E15="",H15="☑"),"",E15-TODAY())</f>
        <v/>
      </c>
      <c r="G15" s="32" t="str">
        <f aca="false">IF(H15="☑","Fatto",IF(E15="","",IF(F15&lt;0,"Scaduta",IF(F15&lt;=7,"Questa settimana",IF(F15&lt;=30,"Entro 30 giorni","Più avanti")))))</f>
        <v/>
      </c>
      <c r="H15" s="39"/>
      <c r="I15" s="30"/>
      <c r="J15" s="30"/>
      <c r="K15" s="30"/>
      <c r="L15" s="32" t="n">
        <f aca="false">IF(D15="Ogni mese",1,IF(D15="Ogni 3 mesi",3,IF(D15="Ogni 6 mesi",6,IF(D15="Ogni anno",12,0))))</f>
        <v>0</v>
      </c>
    </row>
    <row r="16" customFormat="false" ht="19.5" hidden="false" customHeight="true" outlineLevel="0" collapsed="false">
      <c r="A16" s="34"/>
      <c r="B16" s="34"/>
      <c r="C16" s="35"/>
      <c r="D16" s="34"/>
      <c r="E16" s="37" t="str">
        <f aca="true">IF(C16="","",IF(OR(L16=0,C16&gt;=TODAY()),C16,IF(EDATE(C16,INT(((YEAR(TODAY())-YEAR(C16))*12+MONTH(TODAY())-MONTH(C16))/L16)*L16)&gt;=TODAY(),EDATE(C16,INT(((YEAR(TODAY())-YEAR(C16))*12+MONTH(TODAY())-MONTH(C16))/L16)*L16),EDATE(C16,(INT(((YEAR(TODAY())-YEAR(C16))*12+MONTH(TODAY())-MONTH(C16))/L16)+1)*L16))))</f>
        <v/>
      </c>
      <c r="F16" s="38" t="str">
        <f aca="true">IF(OR(E16="",H16="☑"),"",E16-TODAY())</f>
        <v/>
      </c>
      <c r="G16" s="32" t="str">
        <f aca="false">IF(H16="☑","Fatto",IF(E16="","",IF(F16&lt;0,"Scaduta",IF(F16&lt;=7,"Questa settimana",IF(F16&lt;=30,"Entro 30 giorni","Più avanti")))))</f>
        <v/>
      </c>
      <c r="H16" s="40"/>
      <c r="I16" s="34"/>
      <c r="J16" s="34"/>
      <c r="K16" s="34"/>
      <c r="L16" s="32" t="n">
        <f aca="false">IF(D16="Ogni mese",1,IF(D16="Ogni 3 mesi",3,IF(D16="Ogni 6 mesi",6,IF(D16="Ogni anno",12,0))))</f>
        <v>0</v>
      </c>
    </row>
    <row r="17" customFormat="false" ht="19.5" hidden="false" customHeight="true" outlineLevel="0" collapsed="false">
      <c r="A17" s="30"/>
      <c r="B17" s="30"/>
      <c r="C17" s="31"/>
      <c r="D17" s="30"/>
      <c r="E17" s="37" t="str">
        <f aca="true">IF(C17="","",IF(OR(L17=0,C17&gt;=TODAY()),C17,IF(EDATE(C17,INT(((YEAR(TODAY())-YEAR(C17))*12+MONTH(TODAY())-MONTH(C17))/L17)*L17)&gt;=TODAY(),EDATE(C17,INT(((YEAR(TODAY())-YEAR(C17))*12+MONTH(TODAY())-MONTH(C17))/L17)*L17),EDATE(C17,(INT(((YEAR(TODAY())-YEAR(C17))*12+MONTH(TODAY())-MONTH(C17))/L17)+1)*L17))))</f>
        <v/>
      </c>
      <c r="F17" s="38" t="str">
        <f aca="true">IF(OR(E17="",H17="☑"),"",E17-TODAY())</f>
        <v/>
      </c>
      <c r="G17" s="32" t="str">
        <f aca="false">IF(H17="☑","Fatto",IF(E17="","",IF(F17&lt;0,"Scaduta",IF(F17&lt;=7,"Questa settimana",IF(F17&lt;=30,"Entro 30 giorni","Più avanti")))))</f>
        <v/>
      </c>
      <c r="H17" s="39"/>
      <c r="I17" s="30"/>
      <c r="J17" s="30"/>
      <c r="K17" s="30"/>
      <c r="L17" s="32" t="n">
        <f aca="false">IF(D17="Ogni mese",1,IF(D17="Ogni 3 mesi",3,IF(D17="Ogni 6 mesi",6,IF(D17="Ogni anno",12,0))))</f>
        <v>0</v>
      </c>
    </row>
    <row r="18" customFormat="false" ht="19.5" hidden="false" customHeight="true" outlineLevel="0" collapsed="false">
      <c r="A18" s="34"/>
      <c r="B18" s="34"/>
      <c r="C18" s="35"/>
      <c r="D18" s="34"/>
      <c r="E18" s="37" t="str">
        <f aca="true">IF(C18="","",IF(OR(L18=0,C18&gt;=TODAY()),C18,IF(EDATE(C18,INT(((YEAR(TODAY())-YEAR(C18))*12+MONTH(TODAY())-MONTH(C18))/L18)*L18)&gt;=TODAY(),EDATE(C18,INT(((YEAR(TODAY())-YEAR(C18))*12+MONTH(TODAY())-MONTH(C18))/L18)*L18),EDATE(C18,(INT(((YEAR(TODAY())-YEAR(C18))*12+MONTH(TODAY())-MONTH(C18))/L18)+1)*L18))))</f>
        <v/>
      </c>
      <c r="F18" s="38" t="str">
        <f aca="true">IF(OR(E18="",H18="☑"),"",E18-TODAY())</f>
        <v/>
      </c>
      <c r="G18" s="32" t="str">
        <f aca="false">IF(H18="☑","Fatto",IF(E18="","",IF(F18&lt;0,"Scaduta",IF(F18&lt;=7,"Questa settimana",IF(F18&lt;=30,"Entro 30 giorni","Più avanti")))))</f>
        <v/>
      </c>
      <c r="H18" s="40"/>
      <c r="I18" s="34"/>
      <c r="J18" s="34"/>
      <c r="K18" s="34"/>
      <c r="L18" s="32" t="n">
        <f aca="false">IF(D18="Ogni mese",1,IF(D18="Ogni 3 mesi",3,IF(D18="Ogni 6 mesi",6,IF(D18="Ogni anno",12,0))))</f>
        <v>0</v>
      </c>
    </row>
    <row r="19" customFormat="false" ht="19.5" hidden="false" customHeight="true" outlineLevel="0" collapsed="false">
      <c r="A19" s="30"/>
      <c r="B19" s="30"/>
      <c r="C19" s="31"/>
      <c r="D19" s="30"/>
      <c r="E19" s="37" t="str">
        <f aca="true">IF(C19="","",IF(OR(L19=0,C19&gt;=TODAY()),C19,IF(EDATE(C19,INT(((YEAR(TODAY())-YEAR(C19))*12+MONTH(TODAY())-MONTH(C19))/L19)*L19)&gt;=TODAY(),EDATE(C19,INT(((YEAR(TODAY())-YEAR(C19))*12+MONTH(TODAY())-MONTH(C19))/L19)*L19),EDATE(C19,(INT(((YEAR(TODAY())-YEAR(C19))*12+MONTH(TODAY())-MONTH(C19))/L19)+1)*L19))))</f>
        <v/>
      </c>
      <c r="F19" s="38" t="str">
        <f aca="true">IF(OR(E19="",H19="☑"),"",E19-TODAY())</f>
        <v/>
      </c>
      <c r="G19" s="32" t="str">
        <f aca="false">IF(H19="☑","Fatto",IF(E19="","",IF(F19&lt;0,"Scaduta",IF(F19&lt;=7,"Questa settimana",IF(F19&lt;=30,"Entro 30 giorni","Più avanti")))))</f>
        <v/>
      </c>
      <c r="H19" s="39"/>
      <c r="I19" s="30"/>
      <c r="J19" s="30"/>
      <c r="K19" s="30"/>
      <c r="L19" s="32" t="n">
        <f aca="false">IF(D19="Ogni mese",1,IF(D19="Ogni 3 mesi",3,IF(D19="Ogni 6 mesi",6,IF(D19="Ogni anno",12,0))))</f>
        <v>0</v>
      </c>
    </row>
    <row r="20" customFormat="false" ht="19.5" hidden="false" customHeight="true" outlineLevel="0" collapsed="false">
      <c r="A20" s="34"/>
      <c r="B20" s="34"/>
      <c r="C20" s="35"/>
      <c r="D20" s="34"/>
      <c r="E20" s="37" t="str">
        <f aca="true">IF(C20="","",IF(OR(L20=0,C20&gt;=TODAY()),C20,IF(EDATE(C20,INT(((YEAR(TODAY())-YEAR(C20))*12+MONTH(TODAY())-MONTH(C20))/L20)*L20)&gt;=TODAY(),EDATE(C20,INT(((YEAR(TODAY())-YEAR(C20))*12+MONTH(TODAY())-MONTH(C20))/L20)*L20),EDATE(C20,(INT(((YEAR(TODAY())-YEAR(C20))*12+MONTH(TODAY())-MONTH(C20))/L20)+1)*L20))))</f>
        <v/>
      </c>
      <c r="F20" s="38" t="str">
        <f aca="true">IF(OR(E20="",H20="☑"),"",E20-TODAY())</f>
        <v/>
      </c>
      <c r="G20" s="32" t="str">
        <f aca="false">IF(H20="☑","Fatto",IF(E20="","",IF(F20&lt;0,"Scaduta",IF(F20&lt;=7,"Questa settimana",IF(F20&lt;=30,"Entro 30 giorni","Più avanti")))))</f>
        <v/>
      </c>
      <c r="H20" s="40"/>
      <c r="I20" s="34"/>
      <c r="J20" s="34"/>
      <c r="K20" s="34"/>
      <c r="L20" s="32" t="n">
        <f aca="false">IF(D20="Ogni mese",1,IF(D20="Ogni 3 mesi",3,IF(D20="Ogni 6 mesi",6,IF(D20="Ogni anno",12,0))))</f>
        <v>0</v>
      </c>
    </row>
    <row r="21" customFormat="false" ht="19.5" hidden="false" customHeight="true" outlineLevel="0" collapsed="false">
      <c r="A21" s="30"/>
      <c r="B21" s="30"/>
      <c r="C21" s="31"/>
      <c r="D21" s="30"/>
      <c r="E21" s="37" t="str">
        <f aca="true">IF(C21="","",IF(OR(L21=0,C21&gt;=TODAY()),C21,IF(EDATE(C21,INT(((YEAR(TODAY())-YEAR(C21))*12+MONTH(TODAY())-MONTH(C21))/L21)*L21)&gt;=TODAY(),EDATE(C21,INT(((YEAR(TODAY())-YEAR(C21))*12+MONTH(TODAY())-MONTH(C21))/L21)*L21),EDATE(C21,(INT(((YEAR(TODAY())-YEAR(C21))*12+MONTH(TODAY())-MONTH(C21))/L21)+1)*L21))))</f>
        <v/>
      </c>
      <c r="F21" s="38" t="str">
        <f aca="true">IF(OR(E21="",H21="☑"),"",E21-TODAY())</f>
        <v/>
      </c>
      <c r="G21" s="32" t="str">
        <f aca="false">IF(H21="☑","Fatto",IF(E21="","",IF(F21&lt;0,"Scaduta",IF(F21&lt;=7,"Questa settimana",IF(F21&lt;=30,"Entro 30 giorni","Più avanti")))))</f>
        <v/>
      </c>
      <c r="H21" s="39"/>
      <c r="I21" s="30"/>
      <c r="J21" s="30"/>
      <c r="K21" s="30"/>
      <c r="L21" s="32" t="n">
        <f aca="false">IF(D21="Ogni mese",1,IF(D21="Ogni 3 mesi",3,IF(D21="Ogni 6 mesi",6,IF(D21="Ogni anno",12,0))))</f>
        <v>0</v>
      </c>
    </row>
    <row r="22" customFormat="false" ht="19.5" hidden="false" customHeight="true" outlineLevel="0" collapsed="false">
      <c r="A22" s="34"/>
      <c r="B22" s="34"/>
      <c r="C22" s="35"/>
      <c r="D22" s="34"/>
      <c r="E22" s="37" t="str">
        <f aca="true">IF(C22="","",IF(OR(L22=0,C22&gt;=TODAY()),C22,IF(EDATE(C22,INT(((YEAR(TODAY())-YEAR(C22))*12+MONTH(TODAY())-MONTH(C22))/L22)*L22)&gt;=TODAY(),EDATE(C22,INT(((YEAR(TODAY())-YEAR(C22))*12+MONTH(TODAY())-MONTH(C22))/L22)*L22),EDATE(C22,(INT(((YEAR(TODAY())-YEAR(C22))*12+MONTH(TODAY())-MONTH(C22))/L22)+1)*L22))))</f>
        <v/>
      </c>
      <c r="F22" s="38" t="str">
        <f aca="true">IF(OR(E22="",H22="☑"),"",E22-TODAY())</f>
        <v/>
      </c>
      <c r="G22" s="32" t="str">
        <f aca="false">IF(H22="☑","Fatto",IF(E22="","",IF(F22&lt;0,"Scaduta",IF(F22&lt;=7,"Questa settimana",IF(F22&lt;=30,"Entro 30 giorni","Più avanti")))))</f>
        <v/>
      </c>
      <c r="H22" s="40"/>
      <c r="I22" s="34"/>
      <c r="J22" s="34"/>
      <c r="K22" s="34"/>
      <c r="L22" s="32" t="n">
        <f aca="false">IF(D22="Ogni mese",1,IF(D22="Ogni 3 mesi",3,IF(D22="Ogni 6 mesi",6,IF(D22="Ogni anno",12,0))))</f>
        <v>0</v>
      </c>
    </row>
    <row r="23" customFormat="false" ht="19.5" hidden="false" customHeight="true" outlineLevel="0" collapsed="false">
      <c r="A23" s="30"/>
      <c r="B23" s="30"/>
      <c r="C23" s="31"/>
      <c r="D23" s="30"/>
      <c r="E23" s="37" t="str">
        <f aca="true">IF(C23="","",IF(OR(L23=0,C23&gt;=TODAY()),C23,IF(EDATE(C23,INT(((YEAR(TODAY())-YEAR(C23))*12+MONTH(TODAY())-MONTH(C23))/L23)*L23)&gt;=TODAY(),EDATE(C23,INT(((YEAR(TODAY())-YEAR(C23))*12+MONTH(TODAY())-MONTH(C23))/L23)*L23),EDATE(C23,(INT(((YEAR(TODAY())-YEAR(C23))*12+MONTH(TODAY())-MONTH(C23))/L23)+1)*L23))))</f>
        <v/>
      </c>
      <c r="F23" s="38" t="str">
        <f aca="true">IF(OR(E23="",H23="☑"),"",E23-TODAY())</f>
        <v/>
      </c>
      <c r="G23" s="32" t="str">
        <f aca="false">IF(H23="☑","Fatto",IF(E23="","",IF(F23&lt;0,"Scaduta",IF(F23&lt;=7,"Questa settimana",IF(F23&lt;=30,"Entro 30 giorni","Più avanti")))))</f>
        <v/>
      </c>
      <c r="H23" s="39"/>
      <c r="I23" s="30"/>
      <c r="J23" s="30"/>
      <c r="K23" s="30"/>
      <c r="L23" s="32" t="n">
        <f aca="false">IF(D23="Ogni mese",1,IF(D23="Ogni 3 mesi",3,IF(D23="Ogni 6 mesi",6,IF(D23="Ogni anno",12,0))))</f>
        <v>0</v>
      </c>
    </row>
    <row r="24" customFormat="false" ht="19.5" hidden="false" customHeight="true" outlineLevel="0" collapsed="false">
      <c r="A24" s="34"/>
      <c r="B24" s="34"/>
      <c r="C24" s="35"/>
      <c r="D24" s="34"/>
      <c r="E24" s="37" t="str">
        <f aca="true">IF(C24="","",IF(OR(L24=0,C24&gt;=TODAY()),C24,IF(EDATE(C24,INT(((YEAR(TODAY())-YEAR(C24))*12+MONTH(TODAY())-MONTH(C24))/L24)*L24)&gt;=TODAY(),EDATE(C24,INT(((YEAR(TODAY())-YEAR(C24))*12+MONTH(TODAY())-MONTH(C24))/L24)*L24),EDATE(C24,(INT(((YEAR(TODAY())-YEAR(C24))*12+MONTH(TODAY())-MONTH(C24))/L24)+1)*L24))))</f>
        <v/>
      </c>
      <c r="F24" s="38" t="str">
        <f aca="true">IF(OR(E24="",H24="☑"),"",E24-TODAY())</f>
        <v/>
      </c>
      <c r="G24" s="32" t="str">
        <f aca="false">IF(H24="☑","Fatto",IF(E24="","",IF(F24&lt;0,"Scaduta",IF(F24&lt;=7,"Questa settimana",IF(F24&lt;=30,"Entro 30 giorni","Più avanti")))))</f>
        <v/>
      </c>
      <c r="H24" s="40"/>
      <c r="I24" s="34"/>
      <c r="J24" s="34"/>
      <c r="K24" s="34"/>
      <c r="L24" s="32" t="n">
        <f aca="false">IF(D24="Ogni mese",1,IF(D24="Ogni 3 mesi",3,IF(D24="Ogni 6 mesi",6,IF(D24="Ogni anno",12,0))))</f>
        <v>0</v>
      </c>
    </row>
    <row r="25" customFormat="false" ht="19.5" hidden="false" customHeight="true" outlineLevel="0" collapsed="false">
      <c r="A25" s="30"/>
      <c r="B25" s="30"/>
      <c r="C25" s="31"/>
      <c r="D25" s="30"/>
      <c r="E25" s="37" t="str">
        <f aca="true">IF(C25="","",IF(OR(L25=0,C25&gt;=TODAY()),C25,IF(EDATE(C25,INT(((YEAR(TODAY())-YEAR(C25))*12+MONTH(TODAY())-MONTH(C25))/L25)*L25)&gt;=TODAY(),EDATE(C25,INT(((YEAR(TODAY())-YEAR(C25))*12+MONTH(TODAY())-MONTH(C25))/L25)*L25),EDATE(C25,(INT(((YEAR(TODAY())-YEAR(C25))*12+MONTH(TODAY())-MONTH(C25))/L25)+1)*L25))))</f>
        <v/>
      </c>
      <c r="F25" s="38" t="str">
        <f aca="true">IF(OR(E25="",H25="☑"),"",E25-TODAY())</f>
        <v/>
      </c>
      <c r="G25" s="32" t="str">
        <f aca="false">IF(H25="☑","Fatto",IF(E25="","",IF(F25&lt;0,"Scaduta",IF(F25&lt;=7,"Questa settimana",IF(F25&lt;=30,"Entro 30 giorni","Più avanti")))))</f>
        <v/>
      </c>
      <c r="H25" s="39"/>
      <c r="I25" s="30"/>
      <c r="J25" s="30"/>
      <c r="K25" s="30"/>
      <c r="L25" s="32" t="n">
        <f aca="false">IF(D25="Ogni mese",1,IF(D25="Ogni 3 mesi",3,IF(D25="Ogni 6 mesi",6,IF(D25="Ogni anno",12,0))))</f>
        <v>0</v>
      </c>
    </row>
    <row r="26" customFormat="false" ht="19.5" hidden="false" customHeight="true" outlineLevel="0" collapsed="false">
      <c r="A26" s="34"/>
      <c r="B26" s="34"/>
      <c r="C26" s="35"/>
      <c r="D26" s="34"/>
      <c r="E26" s="37" t="str">
        <f aca="true">IF(C26="","",IF(OR(L26=0,C26&gt;=TODAY()),C26,IF(EDATE(C26,INT(((YEAR(TODAY())-YEAR(C26))*12+MONTH(TODAY())-MONTH(C26))/L26)*L26)&gt;=TODAY(),EDATE(C26,INT(((YEAR(TODAY())-YEAR(C26))*12+MONTH(TODAY())-MONTH(C26))/L26)*L26),EDATE(C26,(INT(((YEAR(TODAY())-YEAR(C26))*12+MONTH(TODAY())-MONTH(C26))/L26)+1)*L26))))</f>
        <v/>
      </c>
      <c r="F26" s="38" t="str">
        <f aca="true">IF(OR(E26="",H26="☑"),"",E26-TODAY())</f>
        <v/>
      </c>
      <c r="G26" s="32" t="str">
        <f aca="false">IF(H26="☑","Fatto",IF(E26="","",IF(F26&lt;0,"Scaduta",IF(F26&lt;=7,"Questa settimana",IF(F26&lt;=30,"Entro 30 giorni","Più avanti")))))</f>
        <v/>
      </c>
      <c r="H26" s="40"/>
      <c r="I26" s="34"/>
      <c r="J26" s="34"/>
      <c r="K26" s="34"/>
      <c r="L26" s="32" t="n">
        <f aca="false">IF(D26="Ogni mese",1,IF(D26="Ogni 3 mesi",3,IF(D26="Ogni 6 mesi",6,IF(D26="Ogni anno",12,0))))</f>
        <v>0</v>
      </c>
    </row>
    <row r="27" customFormat="false" ht="19.5" hidden="false" customHeight="true" outlineLevel="0" collapsed="false">
      <c r="A27" s="30"/>
      <c r="B27" s="30"/>
      <c r="C27" s="31"/>
      <c r="D27" s="30"/>
      <c r="E27" s="37" t="str">
        <f aca="true">IF(C27="","",IF(OR(L27=0,C27&gt;=TODAY()),C27,IF(EDATE(C27,INT(((YEAR(TODAY())-YEAR(C27))*12+MONTH(TODAY())-MONTH(C27))/L27)*L27)&gt;=TODAY(),EDATE(C27,INT(((YEAR(TODAY())-YEAR(C27))*12+MONTH(TODAY())-MONTH(C27))/L27)*L27),EDATE(C27,(INT(((YEAR(TODAY())-YEAR(C27))*12+MONTH(TODAY())-MONTH(C27))/L27)+1)*L27))))</f>
        <v/>
      </c>
      <c r="F27" s="38" t="str">
        <f aca="true">IF(OR(E27="",H27="☑"),"",E27-TODAY())</f>
        <v/>
      </c>
      <c r="G27" s="32" t="str">
        <f aca="false">IF(H27="☑","Fatto",IF(E27="","",IF(F27&lt;0,"Scaduta",IF(F27&lt;=7,"Questa settimana",IF(F27&lt;=30,"Entro 30 giorni","Più avanti")))))</f>
        <v/>
      </c>
      <c r="H27" s="39"/>
      <c r="I27" s="30"/>
      <c r="J27" s="30"/>
      <c r="K27" s="30"/>
      <c r="L27" s="32" t="n">
        <f aca="false">IF(D27="Ogni mese",1,IF(D27="Ogni 3 mesi",3,IF(D27="Ogni 6 mesi",6,IF(D27="Ogni anno",12,0))))</f>
        <v>0</v>
      </c>
    </row>
    <row r="28" customFormat="false" ht="19.5" hidden="false" customHeight="true" outlineLevel="0" collapsed="false">
      <c r="A28" s="34"/>
      <c r="B28" s="34"/>
      <c r="C28" s="35"/>
      <c r="D28" s="34"/>
      <c r="E28" s="37" t="str">
        <f aca="true">IF(C28="","",IF(OR(L28=0,C28&gt;=TODAY()),C28,IF(EDATE(C28,INT(((YEAR(TODAY())-YEAR(C28))*12+MONTH(TODAY())-MONTH(C28))/L28)*L28)&gt;=TODAY(),EDATE(C28,INT(((YEAR(TODAY())-YEAR(C28))*12+MONTH(TODAY())-MONTH(C28))/L28)*L28),EDATE(C28,(INT(((YEAR(TODAY())-YEAR(C28))*12+MONTH(TODAY())-MONTH(C28))/L28)+1)*L28))))</f>
        <v/>
      </c>
      <c r="F28" s="38" t="str">
        <f aca="true">IF(OR(E28="",H28="☑"),"",E28-TODAY())</f>
        <v/>
      </c>
      <c r="G28" s="32" t="str">
        <f aca="false">IF(H28="☑","Fatto",IF(E28="","",IF(F28&lt;0,"Scaduta",IF(F28&lt;=7,"Questa settimana",IF(F28&lt;=30,"Entro 30 giorni","Più avanti")))))</f>
        <v/>
      </c>
      <c r="H28" s="40"/>
      <c r="I28" s="34"/>
      <c r="J28" s="34"/>
      <c r="K28" s="34"/>
      <c r="L28" s="32" t="n">
        <f aca="false">IF(D28="Ogni mese",1,IF(D28="Ogni 3 mesi",3,IF(D28="Ogni 6 mesi",6,IF(D28="Ogni anno",12,0))))</f>
        <v>0</v>
      </c>
    </row>
    <row r="29" customFormat="false" ht="19.5" hidden="false" customHeight="true" outlineLevel="0" collapsed="false">
      <c r="A29" s="30"/>
      <c r="B29" s="30"/>
      <c r="C29" s="31"/>
      <c r="D29" s="30"/>
      <c r="E29" s="37" t="str">
        <f aca="true">IF(C29="","",IF(OR(L29=0,C29&gt;=TODAY()),C29,IF(EDATE(C29,INT(((YEAR(TODAY())-YEAR(C29))*12+MONTH(TODAY())-MONTH(C29))/L29)*L29)&gt;=TODAY(),EDATE(C29,INT(((YEAR(TODAY())-YEAR(C29))*12+MONTH(TODAY())-MONTH(C29))/L29)*L29),EDATE(C29,(INT(((YEAR(TODAY())-YEAR(C29))*12+MONTH(TODAY())-MONTH(C29))/L29)+1)*L29))))</f>
        <v/>
      </c>
      <c r="F29" s="38" t="str">
        <f aca="true">IF(OR(E29="",H29="☑"),"",E29-TODAY())</f>
        <v/>
      </c>
      <c r="G29" s="32" t="str">
        <f aca="false">IF(H29="☑","Fatto",IF(E29="","",IF(F29&lt;0,"Scaduta",IF(F29&lt;=7,"Questa settimana",IF(F29&lt;=30,"Entro 30 giorni","Più avanti")))))</f>
        <v/>
      </c>
      <c r="H29" s="39"/>
      <c r="I29" s="30"/>
      <c r="J29" s="30"/>
      <c r="K29" s="30"/>
      <c r="L29" s="32" t="n">
        <f aca="false">IF(D29="Ogni mese",1,IF(D29="Ogni 3 mesi",3,IF(D29="Ogni 6 mesi",6,IF(D29="Ogni anno",12,0))))</f>
        <v>0</v>
      </c>
    </row>
    <row r="30" customFormat="false" ht="19.5" hidden="false" customHeight="true" outlineLevel="0" collapsed="false">
      <c r="A30" s="34"/>
      <c r="B30" s="34"/>
      <c r="C30" s="35"/>
      <c r="D30" s="34"/>
      <c r="E30" s="37" t="str">
        <f aca="true">IF(C30="","",IF(OR(L30=0,C30&gt;=TODAY()),C30,IF(EDATE(C30,INT(((YEAR(TODAY())-YEAR(C30))*12+MONTH(TODAY())-MONTH(C30))/L30)*L30)&gt;=TODAY(),EDATE(C30,INT(((YEAR(TODAY())-YEAR(C30))*12+MONTH(TODAY())-MONTH(C30))/L30)*L30),EDATE(C30,(INT(((YEAR(TODAY())-YEAR(C30))*12+MONTH(TODAY())-MONTH(C30))/L30)+1)*L30))))</f>
        <v/>
      </c>
      <c r="F30" s="38" t="str">
        <f aca="true">IF(OR(E30="",H30="☑"),"",E30-TODAY())</f>
        <v/>
      </c>
      <c r="G30" s="32" t="str">
        <f aca="false">IF(H30="☑","Fatto",IF(E30="","",IF(F30&lt;0,"Scaduta",IF(F30&lt;=7,"Questa settimana",IF(F30&lt;=30,"Entro 30 giorni","Più avanti")))))</f>
        <v/>
      </c>
      <c r="H30" s="40"/>
      <c r="I30" s="34"/>
      <c r="J30" s="34"/>
      <c r="K30" s="34"/>
      <c r="L30" s="32" t="n">
        <f aca="false">IF(D30="Ogni mese",1,IF(D30="Ogni 3 mesi",3,IF(D30="Ogni 6 mesi",6,IF(D30="Ogni anno",12,0))))</f>
        <v>0</v>
      </c>
    </row>
    <row r="31" customFormat="false" ht="19.5" hidden="false" customHeight="true" outlineLevel="0" collapsed="false">
      <c r="A31" s="30"/>
      <c r="B31" s="30"/>
      <c r="C31" s="31"/>
      <c r="D31" s="30"/>
      <c r="E31" s="37" t="str">
        <f aca="true">IF(C31="","",IF(OR(L31=0,C31&gt;=TODAY()),C31,IF(EDATE(C31,INT(((YEAR(TODAY())-YEAR(C31))*12+MONTH(TODAY())-MONTH(C31))/L31)*L31)&gt;=TODAY(),EDATE(C31,INT(((YEAR(TODAY())-YEAR(C31))*12+MONTH(TODAY())-MONTH(C31))/L31)*L31),EDATE(C31,(INT(((YEAR(TODAY())-YEAR(C31))*12+MONTH(TODAY())-MONTH(C31))/L31)+1)*L31))))</f>
        <v/>
      </c>
      <c r="F31" s="38" t="str">
        <f aca="true">IF(OR(E31="",H31="☑"),"",E31-TODAY())</f>
        <v/>
      </c>
      <c r="G31" s="32" t="str">
        <f aca="false">IF(H31="☑","Fatto",IF(E31="","",IF(F31&lt;0,"Scaduta",IF(F31&lt;=7,"Questa settimana",IF(F31&lt;=30,"Entro 30 giorni","Più avanti")))))</f>
        <v/>
      </c>
      <c r="H31" s="39"/>
      <c r="I31" s="30"/>
      <c r="J31" s="30"/>
      <c r="K31" s="30"/>
      <c r="L31" s="32" t="n">
        <f aca="false">IF(D31="Ogni mese",1,IF(D31="Ogni 3 mesi",3,IF(D31="Ogni 6 mesi",6,IF(D31="Ogni anno",12,0))))</f>
        <v>0</v>
      </c>
    </row>
    <row r="32" customFormat="false" ht="19.5" hidden="false" customHeight="true" outlineLevel="0" collapsed="false">
      <c r="A32" s="34"/>
      <c r="B32" s="34"/>
      <c r="C32" s="35"/>
      <c r="D32" s="34"/>
      <c r="E32" s="37" t="str">
        <f aca="true">IF(C32="","",IF(OR(L32=0,C32&gt;=TODAY()),C32,IF(EDATE(C32,INT(((YEAR(TODAY())-YEAR(C32))*12+MONTH(TODAY())-MONTH(C32))/L32)*L32)&gt;=TODAY(),EDATE(C32,INT(((YEAR(TODAY())-YEAR(C32))*12+MONTH(TODAY())-MONTH(C32))/L32)*L32),EDATE(C32,(INT(((YEAR(TODAY())-YEAR(C32))*12+MONTH(TODAY())-MONTH(C32))/L32)+1)*L32))))</f>
        <v/>
      </c>
      <c r="F32" s="38" t="str">
        <f aca="true">IF(OR(E32="",H32="☑"),"",E32-TODAY())</f>
        <v/>
      </c>
      <c r="G32" s="32" t="str">
        <f aca="false">IF(H32="☑","Fatto",IF(E32="","",IF(F32&lt;0,"Scaduta",IF(F32&lt;=7,"Questa settimana",IF(F32&lt;=30,"Entro 30 giorni","Più avanti")))))</f>
        <v/>
      </c>
      <c r="H32" s="40"/>
      <c r="I32" s="34"/>
      <c r="J32" s="34"/>
      <c r="K32" s="34"/>
      <c r="L32" s="32" t="n">
        <f aca="false">IF(D32="Ogni mese",1,IF(D32="Ogni 3 mesi",3,IF(D32="Ogni 6 mesi",6,IF(D32="Ogni anno",12,0))))</f>
        <v>0</v>
      </c>
    </row>
    <row r="33" customFormat="false" ht="19.5" hidden="false" customHeight="true" outlineLevel="0" collapsed="false">
      <c r="A33" s="30"/>
      <c r="B33" s="30"/>
      <c r="C33" s="31"/>
      <c r="D33" s="30"/>
      <c r="E33" s="37" t="str">
        <f aca="true">IF(C33="","",IF(OR(L33=0,C33&gt;=TODAY()),C33,IF(EDATE(C33,INT(((YEAR(TODAY())-YEAR(C33))*12+MONTH(TODAY())-MONTH(C33))/L33)*L33)&gt;=TODAY(),EDATE(C33,INT(((YEAR(TODAY())-YEAR(C33))*12+MONTH(TODAY())-MONTH(C33))/L33)*L33),EDATE(C33,(INT(((YEAR(TODAY())-YEAR(C33))*12+MONTH(TODAY())-MONTH(C33))/L33)+1)*L33))))</f>
        <v/>
      </c>
      <c r="F33" s="38" t="str">
        <f aca="true">IF(OR(E33="",H33="☑"),"",E33-TODAY())</f>
        <v/>
      </c>
      <c r="G33" s="32" t="str">
        <f aca="false">IF(H33="☑","Fatto",IF(E33="","",IF(F33&lt;0,"Scaduta",IF(F33&lt;=7,"Questa settimana",IF(F33&lt;=30,"Entro 30 giorni","Più avanti")))))</f>
        <v/>
      </c>
      <c r="H33" s="39"/>
      <c r="I33" s="30"/>
      <c r="J33" s="30"/>
      <c r="K33" s="30"/>
      <c r="L33" s="32" t="n">
        <f aca="false">IF(D33="Ogni mese",1,IF(D33="Ogni 3 mesi",3,IF(D33="Ogni 6 mesi",6,IF(D33="Ogni anno",12,0))))</f>
        <v>0</v>
      </c>
    </row>
    <row r="34" customFormat="false" ht="19.5" hidden="false" customHeight="true" outlineLevel="0" collapsed="false">
      <c r="A34" s="34"/>
      <c r="B34" s="34"/>
      <c r="C34" s="35"/>
      <c r="D34" s="34"/>
      <c r="E34" s="37" t="str">
        <f aca="true">IF(C34="","",IF(OR(L34=0,C34&gt;=TODAY()),C34,IF(EDATE(C34,INT(((YEAR(TODAY())-YEAR(C34))*12+MONTH(TODAY())-MONTH(C34))/L34)*L34)&gt;=TODAY(),EDATE(C34,INT(((YEAR(TODAY())-YEAR(C34))*12+MONTH(TODAY())-MONTH(C34))/L34)*L34),EDATE(C34,(INT(((YEAR(TODAY())-YEAR(C34))*12+MONTH(TODAY())-MONTH(C34))/L34)+1)*L34))))</f>
        <v/>
      </c>
      <c r="F34" s="38" t="str">
        <f aca="true">IF(OR(E34="",H34="☑"),"",E34-TODAY())</f>
        <v/>
      </c>
      <c r="G34" s="32" t="str">
        <f aca="false">IF(H34="☑","Fatto",IF(E34="","",IF(F34&lt;0,"Scaduta",IF(F34&lt;=7,"Questa settimana",IF(F34&lt;=30,"Entro 30 giorni","Più avanti")))))</f>
        <v/>
      </c>
      <c r="H34" s="40"/>
      <c r="I34" s="34"/>
      <c r="J34" s="34"/>
      <c r="K34" s="34"/>
      <c r="L34" s="32" t="n">
        <f aca="false">IF(D34="Ogni mese",1,IF(D34="Ogni 3 mesi",3,IF(D34="Ogni 6 mesi",6,IF(D34="Ogni anno",12,0))))</f>
        <v>0</v>
      </c>
    </row>
    <row r="35" customFormat="false" ht="19.5" hidden="false" customHeight="true" outlineLevel="0" collapsed="false">
      <c r="A35" s="30"/>
      <c r="B35" s="30"/>
      <c r="C35" s="31"/>
      <c r="D35" s="30"/>
      <c r="E35" s="37" t="str">
        <f aca="true">IF(C35="","",IF(OR(L35=0,C35&gt;=TODAY()),C35,IF(EDATE(C35,INT(((YEAR(TODAY())-YEAR(C35))*12+MONTH(TODAY())-MONTH(C35))/L35)*L35)&gt;=TODAY(),EDATE(C35,INT(((YEAR(TODAY())-YEAR(C35))*12+MONTH(TODAY())-MONTH(C35))/L35)*L35),EDATE(C35,(INT(((YEAR(TODAY())-YEAR(C35))*12+MONTH(TODAY())-MONTH(C35))/L35)+1)*L35))))</f>
        <v/>
      </c>
      <c r="F35" s="38" t="str">
        <f aca="true">IF(OR(E35="",H35="☑"),"",E35-TODAY())</f>
        <v/>
      </c>
      <c r="G35" s="32" t="str">
        <f aca="false">IF(H35="☑","Fatto",IF(E35="","",IF(F35&lt;0,"Scaduta",IF(F35&lt;=7,"Questa settimana",IF(F35&lt;=30,"Entro 30 giorni","Più avanti")))))</f>
        <v/>
      </c>
      <c r="H35" s="39"/>
      <c r="I35" s="30"/>
      <c r="J35" s="30"/>
      <c r="K35" s="30"/>
      <c r="L35" s="32" t="n">
        <f aca="false">IF(D35="Ogni mese",1,IF(D35="Ogni 3 mesi",3,IF(D35="Ogni 6 mesi",6,IF(D35="Ogni anno",12,0))))</f>
        <v>0</v>
      </c>
    </row>
    <row r="36" customFormat="false" ht="19.5" hidden="false" customHeight="true" outlineLevel="0" collapsed="false">
      <c r="A36" s="34"/>
      <c r="B36" s="34"/>
      <c r="C36" s="35"/>
      <c r="D36" s="34"/>
      <c r="E36" s="37" t="str">
        <f aca="true">IF(C36="","",IF(OR(L36=0,C36&gt;=TODAY()),C36,IF(EDATE(C36,INT(((YEAR(TODAY())-YEAR(C36))*12+MONTH(TODAY())-MONTH(C36))/L36)*L36)&gt;=TODAY(),EDATE(C36,INT(((YEAR(TODAY())-YEAR(C36))*12+MONTH(TODAY())-MONTH(C36))/L36)*L36),EDATE(C36,(INT(((YEAR(TODAY())-YEAR(C36))*12+MONTH(TODAY())-MONTH(C36))/L36)+1)*L36))))</f>
        <v/>
      </c>
      <c r="F36" s="38" t="str">
        <f aca="true">IF(OR(E36="",H36="☑"),"",E36-TODAY())</f>
        <v/>
      </c>
      <c r="G36" s="32" t="str">
        <f aca="false">IF(H36="☑","Fatto",IF(E36="","",IF(F36&lt;0,"Scaduta",IF(F36&lt;=7,"Questa settimana",IF(F36&lt;=30,"Entro 30 giorni","Più avanti")))))</f>
        <v/>
      </c>
      <c r="H36" s="40"/>
      <c r="I36" s="34"/>
      <c r="J36" s="34"/>
      <c r="K36" s="34"/>
      <c r="L36" s="32" t="n">
        <f aca="false">IF(D36="Ogni mese",1,IF(D36="Ogni 3 mesi",3,IF(D36="Ogni 6 mesi",6,IF(D36="Ogni anno",12,0))))</f>
        <v>0</v>
      </c>
    </row>
    <row r="37" customFormat="false" ht="19.5" hidden="false" customHeight="true" outlineLevel="0" collapsed="false">
      <c r="A37" s="30"/>
      <c r="B37" s="30"/>
      <c r="C37" s="31"/>
      <c r="D37" s="30"/>
      <c r="E37" s="37" t="str">
        <f aca="true">IF(C37="","",IF(OR(L37=0,C37&gt;=TODAY()),C37,IF(EDATE(C37,INT(((YEAR(TODAY())-YEAR(C37))*12+MONTH(TODAY())-MONTH(C37))/L37)*L37)&gt;=TODAY(),EDATE(C37,INT(((YEAR(TODAY())-YEAR(C37))*12+MONTH(TODAY())-MONTH(C37))/L37)*L37),EDATE(C37,(INT(((YEAR(TODAY())-YEAR(C37))*12+MONTH(TODAY())-MONTH(C37))/L37)+1)*L37))))</f>
        <v/>
      </c>
      <c r="F37" s="38" t="str">
        <f aca="true">IF(OR(E37="",H37="☑"),"",E37-TODAY())</f>
        <v/>
      </c>
      <c r="G37" s="32" t="str">
        <f aca="false">IF(H37="☑","Fatto",IF(E37="","",IF(F37&lt;0,"Scaduta",IF(F37&lt;=7,"Questa settimana",IF(F37&lt;=30,"Entro 30 giorni","Più avanti")))))</f>
        <v/>
      </c>
      <c r="H37" s="39"/>
      <c r="I37" s="30"/>
      <c r="J37" s="30"/>
      <c r="K37" s="30"/>
      <c r="L37" s="32" t="n">
        <f aca="false">IF(D37="Ogni mese",1,IF(D37="Ogni 3 mesi",3,IF(D37="Ogni 6 mesi",6,IF(D37="Ogni anno",12,0))))</f>
        <v>0</v>
      </c>
    </row>
    <row r="38" customFormat="false" ht="19.5" hidden="false" customHeight="true" outlineLevel="0" collapsed="false">
      <c r="A38" s="34"/>
      <c r="B38" s="34"/>
      <c r="C38" s="35"/>
      <c r="D38" s="34"/>
      <c r="E38" s="37" t="str">
        <f aca="true">IF(C38="","",IF(OR(L38=0,C38&gt;=TODAY()),C38,IF(EDATE(C38,INT(((YEAR(TODAY())-YEAR(C38))*12+MONTH(TODAY())-MONTH(C38))/L38)*L38)&gt;=TODAY(),EDATE(C38,INT(((YEAR(TODAY())-YEAR(C38))*12+MONTH(TODAY())-MONTH(C38))/L38)*L38),EDATE(C38,(INT(((YEAR(TODAY())-YEAR(C38))*12+MONTH(TODAY())-MONTH(C38))/L38)+1)*L38))))</f>
        <v/>
      </c>
      <c r="F38" s="38" t="str">
        <f aca="true">IF(OR(E38="",H38="☑"),"",E38-TODAY())</f>
        <v/>
      </c>
      <c r="G38" s="32" t="str">
        <f aca="false">IF(H38="☑","Fatto",IF(E38="","",IF(F38&lt;0,"Scaduta",IF(F38&lt;=7,"Questa settimana",IF(F38&lt;=30,"Entro 30 giorni","Più avanti")))))</f>
        <v/>
      </c>
      <c r="H38" s="40"/>
      <c r="I38" s="34"/>
      <c r="J38" s="34"/>
      <c r="K38" s="34"/>
      <c r="L38" s="32" t="n">
        <f aca="false">IF(D38="Ogni mese",1,IF(D38="Ogni 3 mesi",3,IF(D38="Ogni 6 mesi",6,IF(D38="Ogni anno",12,0))))</f>
        <v>0</v>
      </c>
    </row>
    <row r="39" customFormat="false" ht="19.5" hidden="false" customHeight="true" outlineLevel="0" collapsed="false">
      <c r="A39" s="30"/>
      <c r="B39" s="30"/>
      <c r="C39" s="31"/>
      <c r="D39" s="30"/>
      <c r="E39" s="37" t="str">
        <f aca="true">IF(C39="","",IF(OR(L39=0,C39&gt;=TODAY()),C39,IF(EDATE(C39,INT(((YEAR(TODAY())-YEAR(C39))*12+MONTH(TODAY())-MONTH(C39))/L39)*L39)&gt;=TODAY(),EDATE(C39,INT(((YEAR(TODAY())-YEAR(C39))*12+MONTH(TODAY())-MONTH(C39))/L39)*L39),EDATE(C39,(INT(((YEAR(TODAY())-YEAR(C39))*12+MONTH(TODAY())-MONTH(C39))/L39)+1)*L39))))</f>
        <v/>
      </c>
      <c r="F39" s="38" t="str">
        <f aca="true">IF(OR(E39="",H39="☑"),"",E39-TODAY())</f>
        <v/>
      </c>
      <c r="G39" s="32" t="str">
        <f aca="false">IF(H39="☑","Fatto",IF(E39="","",IF(F39&lt;0,"Scaduta",IF(F39&lt;=7,"Questa settimana",IF(F39&lt;=30,"Entro 30 giorni","Più avanti")))))</f>
        <v/>
      </c>
      <c r="H39" s="39"/>
      <c r="I39" s="30"/>
      <c r="J39" s="30"/>
      <c r="K39" s="30"/>
      <c r="L39" s="32" t="n">
        <f aca="false">IF(D39="Ogni mese",1,IF(D39="Ogni 3 mesi",3,IF(D39="Ogni 6 mesi",6,IF(D39="Ogni anno",12,0))))</f>
        <v>0</v>
      </c>
    </row>
    <row r="40" customFormat="false" ht="19.5" hidden="false" customHeight="true" outlineLevel="0" collapsed="false">
      <c r="A40" s="34"/>
      <c r="B40" s="34"/>
      <c r="C40" s="35"/>
      <c r="D40" s="34"/>
      <c r="E40" s="37" t="str">
        <f aca="true">IF(C40="","",IF(OR(L40=0,C40&gt;=TODAY()),C40,IF(EDATE(C40,INT(((YEAR(TODAY())-YEAR(C40))*12+MONTH(TODAY())-MONTH(C40))/L40)*L40)&gt;=TODAY(),EDATE(C40,INT(((YEAR(TODAY())-YEAR(C40))*12+MONTH(TODAY())-MONTH(C40))/L40)*L40),EDATE(C40,(INT(((YEAR(TODAY())-YEAR(C40))*12+MONTH(TODAY())-MONTH(C40))/L40)+1)*L40))))</f>
        <v/>
      </c>
      <c r="F40" s="38" t="str">
        <f aca="true">IF(OR(E40="",H40="☑"),"",E40-TODAY())</f>
        <v/>
      </c>
      <c r="G40" s="32" t="str">
        <f aca="false">IF(H40="☑","Fatto",IF(E40="","",IF(F40&lt;0,"Scaduta",IF(F40&lt;=7,"Questa settimana",IF(F40&lt;=30,"Entro 30 giorni","Più avanti")))))</f>
        <v/>
      </c>
      <c r="H40" s="40"/>
      <c r="I40" s="34"/>
      <c r="J40" s="34"/>
      <c r="K40" s="34"/>
      <c r="L40" s="32" t="n">
        <f aca="false">IF(D40="Ogni mese",1,IF(D40="Ogni 3 mesi",3,IF(D40="Ogni 6 mesi",6,IF(D40="Ogni anno",12,0))))</f>
        <v>0</v>
      </c>
    </row>
    <row r="41" customFormat="false" ht="19.5" hidden="false" customHeight="true" outlineLevel="0" collapsed="false">
      <c r="A41" s="30"/>
      <c r="B41" s="30"/>
      <c r="C41" s="31"/>
      <c r="D41" s="30"/>
      <c r="E41" s="37" t="str">
        <f aca="true">IF(C41="","",IF(OR(L41=0,C41&gt;=TODAY()),C41,IF(EDATE(C41,INT(((YEAR(TODAY())-YEAR(C41))*12+MONTH(TODAY())-MONTH(C41))/L41)*L41)&gt;=TODAY(),EDATE(C41,INT(((YEAR(TODAY())-YEAR(C41))*12+MONTH(TODAY())-MONTH(C41))/L41)*L41),EDATE(C41,(INT(((YEAR(TODAY())-YEAR(C41))*12+MONTH(TODAY())-MONTH(C41))/L41)+1)*L41))))</f>
        <v/>
      </c>
      <c r="F41" s="38" t="str">
        <f aca="true">IF(OR(E41="",H41="☑"),"",E41-TODAY())</f>
        <v/>
      </c>
      <c r="G41" s="32" t="str">
        <f aca="false">IF(H41="☑","Fatto",IF(E41="","",IF(F41&lt;0,"Scaduta",IF(F41&lt;=7,"Questa settimana",IF(F41&lt;=30,"Entro 30 giorni","Più avanti")))))</f>
        <v/>
      </c>
      <c r="H41" s="39"/>
      <c r="I41" s="30"/>
      <c r="J41" s="30"/>
      <c r="K41" s="30"/>
      <c r="L41" s="32" t="n">
        <f aca="false">IF(D41="Ogni mese",1,IF(D41="Ogni 3 mesi",3,IF(D41="Ogni 6 mesi",6,IF(D41="Ogni anno",12,0))))</f>
        <v>0</v>
      </c>
    </row>
    <row r="42" customFormat="false" ht="19.5" hidden="false" customHeight="true" outlineLevel="0" collapsed="false">
      <c r="A42" s="34"/>
      <c r="B42" s="34"/>
      <c r="C42" s="35"/>
      <c r="D42" s="34"/>
      <c r="E42" s="37" t="str">
        <f aca="true">IF(C42="","",IF(OR(L42=0,C42&gt;=TODAY()),C42,IF(EDATE(C42,INT(((YEAR(TODAY())-YEAR(C42))*12+MONTH(TODAY())-MONTH(C42))/L42)*L42)&gt;=TODAY(),EDATE(C42,INT(((YEAR(TODAY())-YEAR(C42))*12+MONTH(TODAY())-MONTH(C42))/L42)*L42),EDATE(C42,(INT(((YEAR(TODAY())-YEAR(C42))*12+MONTH(TODAY())-MONTH(C42))/L42)+1)*L42))))</f>
        <v/>
      </c>
      <c r="F42" s="38" t="str">
        <f aca="true">IF(OR(E42="",H42="☑"),"",E42-TODAY())</f>
        <v/>
      </c>
      <c r="G42" s="32" t="str">
        <f aca="false">IF(H42="☑","Fatto",IF(E42="","",IF(F42&lt;0,"Scaduta",IF(F42&lt;=7,"Questa settimana",IF(F42&lt;=30,"Entro 30 giorni","Più avanti")))))</f>
        <v/>
      </c>
      <c r="H42" s="40"/>
      <c r="I42" s="34"/>
      <c r="J42" s="34"/>
      <c r="K42" s="34"/>
      <c r="L42" s="32" t="n">
        <f aca="false">IF(D42="Ogni mese",1,IF(D42="Ogni 3 mesi",3,IF(D42="Ogni 6 mesi",6,IF(D42="Ogni anno",12,0))))</f>
        <v>0</v>
      </c>
    </row>
    <row r="43" customFormat="false" ht="19.5" hidden="false" customHeight="true" outlineLevel="0" collapsed="false">
      <c r="A43" s="30"/>
      <c r="B43" s="30"/>
      <c r="C43" s="31"/>
      <c r="D43" s="30"/>
      <c r="E43" s="37" t="str">
        <f aca="true">IF(C43="","",IF(OR(L43=0,C43&gt;=TODAY()),C43,IF(EDATE(C43,INT(((YEAR(TODAY())-YEAR(C43))*12+MONTH(TODAY())-MONTH(C43))/L43)*L43)&gt;=TODAY(),EDATE(C43,INT(((YEAR(TODAY())-YEAR(C43))*12+MONTH(TODAY())-MONTH(C43))/L43)*L43),EDATE(C43,(INT(((YEAR(TODAY())-YEAR(C43))*12+MONTH(TODAY())-MONTH(C43))/L43)+1)*L43))))</f>
        <v/>
      </c>
      <c r="F43" s="38" t="str">
        <f aca="true">IF(OR(E43="",H43="☑"),"",E43-TODAY())</f>
        <v/>
      </c>
      <c r="G43" s="32" t="str">
        <f aca="false">IF(H43="☑","Fatto",IF(E43="","",IF(F43&lt;0,"Scaduta",IF(F43&lt;=7,"Questa settimana",IF(F43&lt;=30,"Entro 30 giorni","Più avanti")))))</f>
        <v/>
      </c>
      <c r="H43" s="39"/>
      <c r="I43" s="30"/>
      <c r="J43" s="30"/>
      <c r="K43" s="30"/>
      <c r="L43" s="32" t="n">
        <f aca="false">IF(D43="Ogni mese",1,IF(D43="Ogni 3 mesi",3,IF(D43="Ogni 6 mesi",6,IF(D43="Ogni anno",12,0))))</f>
        <v>0</v>
      </c>
    </row>
    <row r="44" customFormat="false" ht="19.5" hidden="false" customHeight="true" outlineLevel="0" collapsed="false">
      <c r="A44" s="34"/>
      <c r="B44" s="34"/>
      <c r="C44" s="35"/>
      <c r="D44" s="34"/>
      <c r="E44" s="37" t="str">
        <f aca="true">IF(C44="","",IF(OR(L44=0,C44&gt;=TODAY()),C44,IF(EDATE(C44,INT(((YEAR(TODAY())-YEAR(C44))*12+MONTH(TODAY())-MONTH(C44))/L44)*L44)&gt;=TODAY(),EDATE(C44,INT(((YEAR(TODAY())-YEAR(C44))*12+MONTH(TODAY())-MONTH(C44))/L44)*L44),EDATE(C44,(INT(((YEAR(TODAY())-YEAR(C44))*12+MONTH(TODAY())-MONTH(C44))/L44)+1)*L44))))</f>
        <v/>
      </c>
      <c r="F44" s="38" t="str">
        <f aca="true">IF(OR(E44="",H44="☑"),"",E44-TODAY())</f>
        <v/>
      </c>
      <c r="G44" s="32" t="str">
        <f aca="false">IF(H44="☑","Fatto",IF(E44="","",IF(F44&lt;0,"Scaduta",IF(F44&lt;=7,"Questa settimana",IF(F44&lt;=30,"Entro 30 giorni","Più avanti")))))</f>
        <v/>
      </c>
      <c r="H44" s="40"/>
      <c r="I44" s="34"/>
      <c r="J44" s="34"/>
      <c r="K44" s="34"/>
      <c r="L44" s="32" t="n">
        <f aca="false">IF(D44="Ogni mese",1,IF(D44="Ogni 3 mesi",3,IF(D44="Ogni 6 mesi",6,IF(D44="Ogni anno",12,0))))</f>
        <v>0</v>
      </c>
    </row>
    <row r="45" customFormat="false" ht="19.5" hidden="false" customHeight="true" outlineLevel="0" collapsed="false">
      <c r="A45" s="30"/>
      <c r="B45" s="30"/>
      <c r="C45" s="31"/>
      <c r="D45" s="30"/>
      <c r="E45" s="37" t="str">
        <f aca="true">IF(C45="","",IF(OR(L45=0,C45&gt;=TODAY()),C45,IF(EDATE(C45,INT(((YEAR(TODAY())-YEAR(C45))*12+MONTH(TODAY())-MONTH(C45))/L45)*L45)&gt;=TODAY(),EDATE(C45,INT(((YEAR(TODAY())-YEAR(C45))*12+MONTH(TODAY())-MONTH(C45))/L45)*L45),EDATE(C45,(INT(((YEAR(TODAY())-YEAR(C45))*12+MONTH(TODAY())-MONTH(C45))/L45)+1)*L45))))</f>
        <v/>
      </c>
      <c r="F45" s="38" t="str">
        <f aca="true">IF(OR(E45="",H45="☑"),"",E45-TODAY())</f>
        <v/>
      </c>
      <c r="G45" s="32" t="str">
        <f aca="false">IF(H45="☑","Fatto",IF(E45="","",IF(F45&lt;0,"Scaduta",IF(F45&lt;=7,"Questa settimana",IF(F45&lt;=30,"Entro 30 giorni","Più avanti")))))</f>
        <v/>
      </c>
      <c r="H45" s="39"/>
      <c r="I45" s="30"/>
      <c r="J45" s="30"/>
      <c r="K45" s="30"/>
      <c r="L45" s="32" t="n">
        <f aca="false">IF(D45="Ogni mese",1,IF(D45="Ogni 3 mesi",3,IF(D45="Ogni 6 mesi",6,IF(D45="Ogni anno",12,0))))</f>
        <v>0</v>
      </c>
    </row>
    <row r="46" customFormat="false" ht="19.5" hidden="false" customHeight="true" outlineLevel="0" collapsed="false">
      <c r="A46" s="34"/>
      <c r="B46" s="34"/>
      <c r="C46" s="35"/>
      <c r="D46" s="34"/>
      <c r="E46" s="37" t="str">
        <f aca="true">IF(C46="","",IF(OR(L46=0,C46&gt;=TODAY()),C46,IF(EDATE(C46,INT(((YEAR(TODAY())-YEAR(C46))*12+MONTH(TODAY())-MONTH(C46))/L46)*L46)&gt;=TODAY(),EDATE(C46,INT(((YEAR(TODAY())-YEAR(C46))*12+MONTH(TODAY())-MONTH(C46))/L46)*L46),EDATE(C46,(INT(((YEAR(TODAY())-YEAR(C46))*12+MONTH(TODAY())-MONTH(C46))/L46)+1)*L46))))</f>
        <v/>
      </c>
      <c r="F46" s="38" t="str">
        <f aca="true">IF(OR(E46="",H46="☑"),"",E46-TODAY())</f>
        <v/>
      </c>
      <c r="G46" s="32" t="str">
        <f aca="false">IF(H46="☑","Fatto",IF(E46="","",IF(F46&lt;0,"Scaduta",IF(F46&lt;=7,"Questa settimana",IF(F46&lt;=30,"Entro 30 giorni","Più avanti")))))</f>
        <v/>
      </c>
      <c r="H46" s="40"/>
      <c r="I46" s="34"/>
      <c r="J46" s="34"/>
      <c r="K46" s="34"/>
      <c r="L46" s="32" t="n">
        <f aca="false">IF(D46="Ogni mese",1,IF(D46="Ogni 3 mesi",3,IF(D46="Ogni 6 mesi",6,IF(D46="Ogni anno",12,0))))</f>
        <v>0</v>
      </c>
    </row>
    <row r="47" customFormat="false" ht="19.5" hidden="false" customHeight="true" outlineLevel="0" collapsed="false">
      <c r="A47" s="30"/>
      <c r="B47" s="30"/>
      <c r="C47" s="31"/>
      <c r="D47" s="30"/>
      <c r="E47" s="37" t="str">
        <f aca="true">IF(C47="","",IF(OR(L47=0,C47&gt;=TODAY()),C47,IF(EDATE(C47,INT(((YEAR(TODAY())-YEAR(C47))*12+MONTH(TODAY())-MONTH(C47))/L47)*L47)&gt;=TODAY(),EDATE(C47,INT(((YEAR(TODAY())-YEAR(C47))*12+MONTH(TODAY())-MONTH(C47))/L47)*L47),EDATE(C47,(INT(((YEAR(TODAY())-YEAR(C47))*12+MONTH(TODAY())-MONTH(C47))/L47)+1)*L47))))</f>
        <v/>
      </c>
      <c r="F47" s="38" t="str">
        <f aca="true">IF(OR(E47="",H47="☑"),"",E47-TODAY())</f>
        <v/>
      </c>
      <c r="G47" s="32" t="str">
        <f aca="false">IF(H47="☑","Fatto",IF(E47="","",IF(F47&lt;0,"Scaduta",IF(F47&lt;=7,"Questa settimana",IF(F47&lt;=30,"Entro 30 giorni","Più avanti")))))</f>
        <v/>
      </c>
      <c r="H47" s="39"/>
      <c r="I47" s="30"/>
      <c r="J47" s="30"/>
      <c r="K47" s="30"/>
      <c r="L47" s="32" t="n">
        <f aca="false">IF(D47="Ogni mese",1,IF(D47="Ogni 3 mesi",3,IF(D47="Ogni 6 mesi",6,IF(D47="Ogni anno",12,0))))</f>
        <v>0</v>
      </c>
    </row>
    <row r="48" customFormat="false" ht="19.5" hidden="false" customHeight="true" outlineLevel="0" collapsed="false">
      <c r="A48" s="34"/>
      <c r="B48" s="34"/>
      <c r="C48" s="35"/>
      <c r="D48" s="34"/>
      <c r="E48" s="37" t="str">
        <f aca="true">IF(C48="","",IF(OR(L48=0,C48&gt;=TODAY()),C48,IF(EDATE(C48,INT(((YEAR(TODAY())-YEAR(C48))*12+MONTH(TODAY())-MONTH(C48))/L48)*L48)&gt;=TODAY(),EDATE(C48,INT(((YEAR(TODAY())-YEAR(C48))*12+MONTH(TODAY())-MONTH(C48))/L48)*L48),EDATE(C48,(INT(((YEAR(TODAY())-YEAR(C48))*12+MONTH(TODAY())-MONTH(C48))/L48)+1)*L48))))</f>
        <v/>
      </c>
      <c r="F48" s="38" t="str">
        <f aca="true">IF(OR(E48="",H48="☑"),"",E48-TODAY())</f>
        <v/>
      </c>
      <c r="G48" s="32" t="str">
        <f aca="false">IF(H48="☑","Fatto",IF(E48="","",IF(F48&lt;0,"Scaduta",IF(F48&lt;=7,"Questa settimana",IF(F48&lt;=30,"Entro 30 giorni","Più avanti")))))</f>
        <v/>
      </c>
      <c r="H48" s="40"/>
      <c r="I48" s="34"/>
      <c r="J48" s="34"/>
      <c r="K48" s="34"/>
      <c r="L48" s="32" t="n">
        <f aca="false">IF(D48="Ogni mese",1,IF(D48="Ogni 3 mesi",3,IF(D48="Ogni 6 mesi",6,IF(D48="Ogni anno",12,0))))</f>
        <v>0</v>
      </c>
    </row>
    <row r="49" customFormat="false" ht="19.5" hidden="false" customHeight="true" outlineLevel="0" collapsed="false">
      <c r="A49" s="30"/>
      <c r="B49" s="30"/>
      <c r="C49" s="31"/>
      <c r="D49" s="30"/>
      <c r="E49" s="37" t="str">
        <f aca="true">IF(C49="","",IF(OR(L49=0,C49&gt;=TODAY()),C49,IF(EDATE(C49,INT(((YEAR(TODAY())-YEAR(C49))*12+MONTH(TODAY())-MONTH(C49))/L49)*L49)&gt;=TODAY(),EDATE(C49,INT(((YEAR(TODAY())-YEAR(C49))*12+MONTH(TODAY())-MONTH(C49))/L49)*L49),EDATE(C49,(INT(((YEAR(TODAY())-YEAR(C49))*12+MONTH(TODAY())-MONTH(C49))/L49)+1)*L49))))</f>
        <v/>
      </c>
      <c r="F49" s="38" t="str">
        <f aca="true">IF(OR(E49="",H49="☑"),"",E49-TODAY())</f>
        <v/>
      </c>
      <c r="G49" s="32" t="str">
        <f aca="false">IF(H49="☑","Fatto",IF(E49="","",IF(F49&lt;0,"Scaduta",IF(F49&lt;=7,"Questa settimana",IF(F49&lt;=30,"Entro 30 giorni","Più avanti")))))</f>
        <v/>
      </c>
      <c r="H49" s="39"/>
      <c r="I49" s="30"/>
      <c r="J49" s="30"/>
      <c r="K49" s="30"/>
      <c r="L49" s="32" t="n">
        <f aca="false">IF(D49="Ogni mese",1,IF(D49="Ogni 3 mesi",3,IF(D49="Ogni 6 mesi",6,IF(D49="Ogni anno",12,0))))</f>
        <v>0</v>
      </c>
    </row>
    <row r="50" customFormat="false" ht="19.5" hidden="false" customHeight="true" outlineLevel="0" collapsed="false">
      <c r="A50" s="34"/>
      <c r="B50" s="34"/>
      <c r="C50" s="35"/>
      <c r="D50" s="34"/>
      <c r="E50" s="37" t="str">
        <f aca="true">IF(C50="","",IF(OR(L50=0,C50&gt;=TODAY()),C50,IF(EDATE(C50,INT(((YEAR(TODAY())-YEAR(C50))*12+MONTH(TODAY())-MONTH(C50))/L50)*L50)&gt;=TODAY(),EDATE(C50,INT(((YEAR(TODAY())-YEAR(C50))*12+MONTH(TODAY())-MONTH(C50))/L50)*L50),EDATE(C50,(INT(((YEAR(TODAY())-YEAR(C50))*12+MONTH(TODAY())-MONTH(C50))/L50)+1)*L50))))</f>
        <v/>
      </c>
      <c r="F50" s="38" t="str">
        <f aca="true">IF(OR(E50="",H50="☑"),"",E50-TODAY())</f>
        <v/>
      </c>
      <c r="G50" s="32" t="str">
        <f aca="false">IF(H50="☑","Fatto",IF(E50="","",IF(F50&lt;0,"Scaduta",IF(F50&lt;=7,"Questa settimana",IF(F50&lt;=30,"Entro 30 giorni","Più avanti")))))</f>
        <v/>
      </c>
      <c r="H50" s="40"/>
      <c r="I50" s="34"/>
      <c r="J50" s="34"/>
      <c r="K50" s="34"/>
      <c r="L50" s="32" t="n">
        <f aca="false">IF(D50="Ogni mese",1,IF(D50="Ogni 3 mesi",3,IF(D50="Ogni 6 mesi",6,IF(D50="Ogni anno",12,0))))</f>
        <v>0</v>
      </c>
    </row>
    <row r="51" customFormat="false" ht="19.5" hidden="false" customHeight="true" outlineLevel="0" collapsed="false">
      <c r="A51" s="30"/>
      <c r="B51" s="30"/>
      <c r="C51" s="31"/>
      <c r="D51" s="30"/>
      <c r="E51" s="37" t="str">
        <f aca="true">IF(C51="","",IF(OR(L51=0,C51&gt;=TODAY()),C51,IF(EDATE(C51,INT(((YEAR(TODAY())-YEAR(C51))*12+MONTH(TODAY())-MONTH(C51))/L51)*L51)&gt;=TODAY(),EDATE(C51,INT(((YEAR(TODAY())-YEAR(C51))*12+MONTH(TODAY())-MONTH(C51))/L51)*L51),EDATE(C51,(INT(((YEAR(TODAY())-YEAR(C51))*12+MONTH(TODAY())-MONTH(C51))/L51)+1)*L51))))</f>
        <v/>
      </c>
      <c r="F51" s="38" t="str">
        <f aca="true">IF(OR(E51="",H51="☑"),"",E51-TODAY())</f>
        <v/>
      </c>
      <c r="G51" s="32" t="str">
        <f aca="false">IF(H51="☑","Fatto",IF(E51="","",IF(F51&lt;0,"Scaduta",IF(F51&lt;=7,"Questa settimana",IF(F51&lt;=30,"Entro 30 giorni","Più avanti")))))</f>
        <v/>
      </c>
      <c r="H51" s="39"/>
      <c r="I51" s="30"/>
      <c r="J51" s="30"/>
      <c r="K51" s="30"/>
      <c r="L51" s="32" t="n">
        <f aca="false">IF(D51="Ogni mese",1,IF(D51="Ogni 3 mesi",3,IF(D51="Ogni 6 mesi",6,IF(D51="Ogni anno",12,0))))</f>
        <v>0</v>
      </c>
    </row>
    <row r="52" customFormat="false" ht="19.5" hidden="false" customHeight="true" outlineLevel="0" collapsed="false">
      <c r="A52" s="34"/>
      <c r="B52" s="34"/>
      <c r="C52" s="35"/>
      <c r="D52" s="34"/>
      <c r="E52" s="37" t="str">
        <f aca="true">IF(C52="","",IF(OR(L52=0,C52&gt;=TODAY()),C52,IF(EDATE(C52,INT(((YEAR(TODAY())-YEAR(C52))*12+MONTH(TODAY())-MONTH(C52))/L52)*L52)&gt;=TODAY(),EDATE(C52,INT(((YEAR(TODAY())-YEAR(C52))*12+MONTH(TODAY())-MONTH(C52))/L52)*L52),EDATE(C52,(INT(((YEAR(TODAY())-YEAR(C52))*12+MONTH(TODAY())-MONTH(C52))/L52)+1)*L52))))</f>
        <v/>
      </c>
      <c r="F52" s="38" t="str">
        <f aca="true">IF(OR(E52="",H52="☑"),"",E52-TODAY())</f>
        <v/>
      </c>
      <c r="G52" s="32" t="str">
        <f aca="false">IF(H52="☑","Fatto",IF(E52="","",IF(F52&lt;0,"Scaduta",IF(F52&lt;=7,"Questa settimana",IF(F52&lt;=30,"Entro 30 giorni","Più avanti")))))</f>
        <v/>
      </c>
      <c r="H52" s="40"/>
      <c r="I52" s="34"/>
      <c r="J52" s="34"/>
      <c r="K52" s="34"/>
      <c r="L52" s="32" t="n">
        <f aca="false">IF(D52="Ogni mese",1,IF(D52="Ogni 3 mesi",3,IF(D52="Ogni 6 mesi",6,IF(D52="Ogni anno",12,0))))</f>
        <v>0</v>
      </c>
    </row>
    <row r="53" customFormat="false" ht="19.5" hidden="false" customHeight="true" outlineLevel="0" collapsed="false">
      <c r="A53" s="30"/>
      <c r="B53" s="30"/>
      <c r="C53" s="31"/>
      <c r="D53" s="30"/>
      <c r="E53" s="37" t="str">
        <f aca="true">IF(C53="","",IF(OR(L53=0,C53&gt;=TODAY()),C53,IF(EDATE(C53,INT(((YEAR(TODAY())-YEAR(C53))*12+MONTH(TODAY())-MONTH(C53))/L53)*L53)&gt;=TODAY(),EDATE(C53,INT(((YEAR(TODAY())-YEAR(C53))*12+MONTH(TODAY())-MONTH(C53))/L53)*L53),EDATE(C53,(INT(((YEAR(TODAY())-YEAR(C53))*12+MONTH(TODAY())-MONTH(C53))/L53)+1)*L53))))</f>
        <v/>
      </c>
      <c r="F53" s="38" t="str">
        <f aca="true">IF(OR(E53="",H53="☑"),"",E53-TODAY())</f>
        <v/>
      </c>
      <c r="G53" s="32" t="str">
        <f aca="false">IF(H53="☑","Fatto",IF(E53="","",IF(F53&lt;0,"Scaduta",IF(F53&lt;=7,"Questa settimana",IF(F53&lt;=30,"Entro 30 giorni","Più avanti")))))</f>
        <v/>
      </c>
      <c r="H53" s="39"/>
      <c r="I53" s="30"/>
      <c r="J53" s="30"/>
      <c r="K53" s="30"/>
      <c r="L53" s="32" t="n">
        <f aca="false">IF(D53="Ogni mese",1,IF(D53="Ogni 3 mesi",3,IF(D53="Ogni 6 mesi",6,IF(D53="Ogni anno",12,0))))</f>
        <v>0</v>
      </c>
    </row>
    <row r="54" customFormat="false" ht="19.5" hidden="false" customHeight="true" outlineLevel="0" collapsed="false">
      <c r="A54" s="34"/>
      <c r="B54" s="34"/>
      <c r="C54" s="35"/>
      <c r="D54" s="34"/>
      <c r="E54" s="37" t="str">
        <f aca="true">IF(C54="","",IF(OR(L54=0,C54&gt;=TODAY()),C54,IF(EDATE(C54,INT(((YEAR(TODAY())-YEAR(C54))*12+MONTH(TODAY())-MONTH(C54))/L54)*L54)&gt;=TODAY(),EDATE(C54,INT(((YEAR(TODAY())-YEAR(C54))*12+MONTH(TODAY())-MONTH(C54))/L54)*L54),EDATE(C54,(INT(((YEAR(TODAY())-YEAR(C54))*12+MONTH(TODAY())-MONTH(C54))/L54)+1)*L54))))</f>
        <v/>
      </c>
      <c r="F54" s="38" t="str">
        <f aca="true">IF(OR(E54="",H54="☑"),"",E54-TODAY())</f>
        <v/>
      </c>
      <c r="G54" s="32" t="str">
        <f aca="false">IF(H54="☑","Fatto",IF(E54="","",IF(F54&lt;0,"Scaduta",IF(F54&lt;=7,"Questa settimana",IF(F54&lt;=30,"Entro 30 giorni","Più avanti")))))</f>
        <v/>
      </c>
      <c r="H54" s="40"/>
      <c r="I54" s="34"/>
      <c r="J54" s="34"/>
      <c r="K54" s="34"/>
      <c r="L54" s="32" t="n">
        <f aca="false">IF(D54="Ogni mese",1,IF(D54="Ogni 3 mesi",3,IF(D54="Ogni 6 mesi",6,IF(D54="Ogni anno",12,0))))</f>
        <v>0</v>
      </c>
    </row>
    <row r="55" customFormat="false" ht="19.5" hidden="false" customHeight="true" outlineLevel="0" collapsed="false">
      <c r="A55" s="30"/>
      <c r="B55" s="30"/>
      <c r="C55" s="31"/>
      <c r="D55" s="30"/>
      <c r="E55" s="37" t="str">
        <f aca="true">IF(C55="","",IF(OR(L55=0,C55&gt;=TODAY()),C55,IF(EDATE(C55,INT(((YEAR(TODAY())-YEAR(C55))*12+MONTH(TODAY())-MONTH(C55))/L55)*L55)&gt;=TODAY(),EDATE(C55,INT(((YEAR(TODAY())-YEAR(C55))*12+MONTH(TODAY())-MONTH(C55))/L55)*L55),EDATE(C55,(INT(((YEAR(TODAY())-YEAR(C55))*12+MONTH(TODAY())-MONTH(C55))/L55)+1)*L55))))</f>
        <v/>
      </c>
      <c r="F55" s="38" t="str">
        <f aca="true">IF(OR(E55="",H55="☑"),"",E55-TODAY())</f>
        <v/>
      </c>
      <c r="G55" s="32" t="str">
        <f aca="false">IF(H55="☑","Fatto",IF(E55="","",IF(F55&lt;0,"Scaduta",IF(F55&lt;=7,"Questa settimana",IF(F55&lt;=30,"Entro 30 giorni","Più avanti")))))</f>
        <v/>
      </c>
      <c r="H55" s="39"/>
      <c r="I55" s="30"/>
      <c r="J55" s="30"/>
      <c r="K55" s="30"/>
      <c r="L55" s="32" t="n">
        <f aca="false">IF(D55="Ogni mese",1,IF(D55="Ogni 3 mesi",3,IF(D55="Ogni 6 mesi",6,IF(D55="Ogni anno",12,0))))</f>
        <v>0</v>
      </c>
    </row>
    <row r="56" customFormat="false" ht="19.5" hidden="false" customHeight="true" outlineLevel="0" collapsed="false">
      <c r="A56" s="34"/>
      <c r="B56" s="34"/>
      <c r="C56" s="35"/>
      <c r="D56" s="34"/>
      <c r="E56" s="37" t="str">
        <f aca="true">IF(C56="","",IF(OR(L56=0,C56&gt;=TODAY()),C56,IF(EDATE(C56,INT(((YEAR(TODAY())-YEAR(C56))*12+MONTH(TODAY())-MONTH(C56))/L56)*L56)&gt;=TODAY(),EDATE(C56,INT(((YEAR(TODAY())-YEAR(C56))*12+MONTH(TODAY())-MONTH(C56))/L56)*L56),EDATE(C56,(INT(((YEAR(TODAY())-YEAR(C56))*12+MONTH(TODAY())-MONTH(C56))/L56)+1)*L56))))</f>
        <v/>
      </c>
      <c r="F56" s="38" t="str">
        <f aca="true">IF(OR(E56="",H56="☑"),"",E56-TODAY())</f>
        <v/>
      </c>
      <c r="G56" s="32" t="str">
        <f aca="false">IF(H56="☑","Fatto",IF(E56="","",IF(F56&lt;0,"Scaduta",IF(F56&lt;=7,"Questa settimana",IF(F56&lt;=30,"Entro 30 giorni","Più avanti")))))</f>
        <v/>
      </c>
      <c r="H56" s="40"/>
      <c r="I56" s="34"/>
      <c r="J56" s="34"/>
      <c r="K56" s="34"/>
      <c r="L56" s="32" t="n">
        <f aca="false">IF(D56="Ogni mese",1,IF(D56="Ogni 3 mesi",3,IF(D56="Ogni 6 mesi",6,IF(D56="Ogni anno",12,0))))</f>
        <v>0</v>
      </c>
    </row>
    <row r="57" customFormat="false" ht="19.5" hidden="false" customHeight="true" outlineLevel="0" collapsed="false">
      <c r="A57" s="30"/>
      <c r="B57" s="30"/>
      <c r="C57" s="31"/>
      <c r="D57" s="30"/>
      <c r="E57" s="37" t="str">
        <f aca="true">IF(C57="","",IF(OR(L57=0,C57&gt;=TODAY()),C57,IF(EDATE(C57,INT(((YEAR(TODAY())-YEAR(C57))*12+MONTH(TODAY())-MONTH(C57))/L57)*L57)&gt;=TODAY(),EDATE(C57,INT(((YEAR(TODAY())-YEAR(C57))*12+MONTH(TODAY())-MONTH(C57))/L57)*L57),EDATE(C57,(INT(((YEAR(TODAY())-YEAR(C57))*12+MONTH(TODAY())-MONTH(C57))/L57)+1)*L57))))</f>
        <v/>
      </c>
      <c r="F57" s="38" t="str">
        <f aca="true">IF(OR(E57="",H57="☑"),"",E57-TODAY())</f>
        <v/>
      </c>
      <c r="G57" s="32" t="str">
        <f aca="false">IF(H57="☑","Fatto",IF(E57="","",IF(F57&lt;0,"Scaduta",IF(F57&lt;=7,"Questa settimana",IF(F57&lt;=30,"Entro 30 giorni","Più avanti")))))</f>
        <v/>
      </c>
      <c r="H57" s="39"/>
      <c r="I57" s="30"/>
      <c r="J57" s="30"/>
      <c r="K57" s="30"/>
      <c r="L57" s="32" t="n">
        <f aca="false">IF(D57="Ogni mese",1,IF(D57="Ogni 3 mesi",3,IF(D57="Ogni 6 mesi",6,IF(D57="Ogni anno",12,0))))</f>
        <v>0</v>
      </c>
    </row>
    <row r="58" customFormat="false" ht="19.5" hidden="false" customHeight="true" outlineLevel="0" collapsed="false">
      <c r="A58" s="34"/>
      <c r="B58" s="34"/>
      <c r="C58" s="35"/>
      <c r="D58" s="34"/>
      <c r="E58" s="37" t="str">
        <f aca="true">IF(C58="","",IF(OR(L58=0,C58&gt;=TODAY()),C58,IF(EDATE(C58,INT(((YEAR(TODAY())-YEAR(C58))*12+MONTH(TODAY())-MONTH(C58))/L58)*L58)&gt;=TODAY(),EDATE(C58,INT(((YEAR(TODAY())-YEAR(C58))*12+MONTH(TODAY())-MONTH(C58))/L58)*L58),EDATE(C58,(INT(((YEAR(TODAY())-YEAR(C58))*12+MONTH(TODAY())-MONTH(C58))/L58)+1)*L58))))</f>
        <v/>
      </c>
      <c r="F58" s="38" t="str">
        <f aca="true">IF(OR(E58="",H58="☑"),"",E58-TODAY())</f>
        <v/>
      </c>
      <c r="G58" s="32" t="str">
        <f aca="false">IF(H58="☑","Fatto",IF(E58="","",IF(F58&lt;0,"Scaduta",IF(F58&lt;=7,"Questa settimana",IF(F58&lt;=30,"Entro 30 giorni","Più avanti")))))</f>
        <v/>
      </c>
      <c r="H58" s="40"/>
      <c r="I58" s="34"/>
      <c r="J58" s="34"/>
      <c r="K58" s="34"/>
      <c r="L58" s="32" t="n">
        <f aca="false">IF(D58="Ogni mese",1,IF(D58="Ogni 3 mesi",3,IF(D58="Ogni 6 mesi",6,IF(D58="Ogni anno",12,0))))</f>
        <v>0</v>
      </c>
    </row>
    <row r="59" customFormat="false" ht="19.5" hidden="false" customHeight="true" outlineLevel="0" collapsed="false">
      <c r="A59" s="30"/>
      <c r="B59" s="30"/>
      <c r="C59" s="31"/>
      <c r="D59" s="30"/>
      <c r="E59" s="37" t="str">
        <f aca="true">IF(C59="","",IF(OR(L59=0,C59&gt;=TODAY()),C59,IF(EDATE(C59,INT(((YEAR(TODAY())-YEAR(C59))*12+MONTH(TODAY())-MONTH(C59))/L59)*L59)&gt;=TODAY(),EDATE(C59,INT(((YEAR(TODAY())-YEAR(C59))*12+MONTH(TODAY())-MONTH(C59))/L59)*L59),EDATE(C59,(INT(((YEAR(TODAY())-YEAR(C59))*12+MONTH(TODAY())-MONTH(C59))/L59)+1)*L59))))</f>
        <v/>
      </c>
      <c r="F59" s="38" t="str">
        <f aca="true">IF(OR(E59="",H59="☑"),"",E59-TODAY())</f>
        <v/>
      </c>
      <c r="G59" s="32" t="str">
        <f aca="false">IF(H59="☑","Fatto",IF(E59="","",IF(F59&lt;0,"Scaduta",IF(F59&lt;=7,"Questa settimana",IF(F59&lt;=30,"Entro 30 giorni","Più avanti")))))</f>
        <v/>
      </c>
      <c r="H59" s="39"/>
      <c r="I59" s="30"/>
      <c r="J59" s="30"/>
      <c r="K59" s="30"/>
      <c r="L59" s="32" t="n">
        <f aca="false">IF(D59="Ogni mese",1,IF(D59="Ogni 3 mesi",3,IF(D59="Ogni 6 mesi",6,IF(D59="Ogni anno",12,0))))</f>
        <v>0</v>
      </c>
    </row>
    <row r="60" customFormat="false" ht="19.5" hidden="false" customHeight="true" outlineLevel="0" collapsed="false">
      <c r="A60" s="34"/>
      <c r="B60" s="34"/>
      <c r="C60" s="35"/>
      <c r="D60" s="34"/>
      <c r="E60" s="37" t="str">
        <f aca="true">IF(C60="","",IF(OR(L60=0,C60&gt;=TODAY()),C60,IF(EDATE(C60,INT(((YEAR(TODAY())-YEAR(C60))*12+MONTH(TODAY())-MONTH(C60))/L60)*L60)&gt;=TODAY(),EDATE(C60,INT(((YEAR(TODAY())-YEAR(C60))*12+MONTH(TODAY())-MONTH(C60))/L60)*L60),EDATE(C60,(INT(((YEAR(TODAY())-YEAR(C60))*12+MONTH(TODAY())-MONTH(C60))/L60)+1)*L60))))</f>
        <v/>
      </c>
      <c r="F60" s="38" t="str">
        <f aca="true">IF(OR(E60="",H60="☑"),"",E60-TODAY())</f>
        <v/>
      </c>
      <c r="G60" s="32" t="str">
        <f aca="false">IF(H60="☑","Fatto",IF(E60="","",IF(F60&lt;0,"Scaduta",IF(F60&lt;=7,"Questa settimana",IF(F60&lt;=30,"Entro 30 giorni","Più avanti")))))</f>
        <v/>
      </c>
      <c r="H60" s="40"/>
      <c r="I60" s="34"/>
      <c r="J60" s="34"/>
      <c r="K60" s="34"/>
      <c r="L60" s="32" t="n">
        <f aca="false">IF(D60="Ogni mese",1,IF(D60="Ogni 3 mesi",3,IF(D60="Ogni 6 mesi",6,IF(D60="Ogni anno",12,0))))</f>
        <v>0</v>
      </c>
    </row>
    <row r="61" customFormat="false" ht="19.5" hidden="false" customHeight="true" outlineLevel="0" collapsed="false">
      <c r="A61" s="30"/>
      <c r="B61" s="30"/>
      <c r="C61" s="31"/>
      <c r="D61" s="30"/>
      <c r="E61" s="37" t="str">
        <f aca="true">IF(C61="","",IF(OR(L61=0,C61&gt;=TODAY()),C61,IF(EDATE(C61,INT(((YEAR(TODAY())-YEAR(C61))*12+MONTH(TODAY())-MONTH(C61))/L61)*L61)&gt;=TODAY(),EDATE(C61,INT(((YEAR(TODAY())-YEAR(C61))*12+MONTH(TODAY())-MONTH(C61))/L61)*L61),EDATE(C61,(INT(((YEAR(TODAY())-YEAR(C61))*12+MONTH(TODAY())-MONTH(C61))/L61)+1)*L61))))</f>
        <v/>
      </c>
      <c r="F61" s="38" t="str">
        <f aca="true">IF(OR(E61="",H61="☑"),"",E61-TODAY())</f>
        <v/>
      </c>
      <c r="G61" s="32" t="str">
        <f aca="false">IF(H61="☑","Fatto",IF(E61="","",IF(F61&lt;0,"Scaduta",IF(F61&lt;=7,"Questa settimana",IF(F61&lt;=30,"Entro 30 giorni","Più avanti")))))</f>
        <v/>
      </c>
      <c r="H61" s="39"/>
      <c r="I61" s="30"/>
      <c r="J61" s="30"/>
      <c r="K61" s="30"/>
      <c r="L61" s="32" t="n">
        <f aca="false">IF(D61="Ogni mese",1,IF(D61="Ogni 3 mesi",3,IF(D61="Ogni 6 mesi",6,IF(D61="Ogni anno",12,0))))</f>
        <v>0</v>
      </c>
    </row>
    <row r="62" customFormat="false" ht="19.5" hidden="false" customHeight="true" outlineLevel="0" collapsed="false">
      <c r="A62" s="34"/>
      <c r="B62" s="34"/>
      <c r="C62" s="35"/>
      <c r="D62" s="34"/>
      <c r="E62" s="37" t="str">
        <f aca="true">IF(C62="","",IF(OR(L62=0,C62&gt;=TODAY()),C62,IF(EDATE(C62,INT(((YEAR(TODAY())-YEAR(C62))*12+MONTH(TODAY())-MONTH(C62))/L62)*L62)&gt;=TODAY(),EDATE(C62,INT(((YEAR(TODAY())-YEAR(C62))*12+MONTH(TODAY())-MONTH(C62))/L62)*L62),EDATE(C62,(INT(((YEAR(TODAY())-YEAR(C62))*12+MONTH(TODAY())-MONTH(C62))/L62)+1)*L62))))</f>
        <v/>
      </c>
      <c r="F62" s="38" t="str">
        <f aca="true">IF(OR(E62="",H62="☑"),"",E62-TODAY())</f>
        <v/>
      </c>
      <c r="G62" s="32" t="str">
        <f aca="false">IF(H62="☑","Fatto",IF(E62="","",IF(F62&lt;0,"Scaduta",IF(F62&lt;=7,"Questa settimana",IF(F62&lt;=30,"Entro 30 giorni","Più avanti")))))</f>
        <v/>
      </c>
      <c r="H62" s="40"/>
      <c r="I62" s="34"/>
      <c r="J62" s="34"/>
      <c r="K62" s="34"/>
      <c r="L62" s="32" t="n">
        <f aca="false">IF(D62="Ogni mese",1,IF(D62="Ogni 3 mesi",3,IF(D62="Ogni 6 mesi",6,IF(D62="Ogni anno",12,0))))</f>
        <v>0</v>
      </c>
    </row>
    <row r="63" customFormat="false" ht="19.5" hidden="false" customHeight="true" outlineLevel="0" collapsed="false">
      <c r="A63" s="30"/>
      <c r="B63" s="30"/>
      <c r="C63" s="31"/>
      <c r="D63" s="30"/>
      <c r="E63" s="37" t="str">
        <f aca="true">IF(C63="","",IF(OR(L63=0,C63&gt;=TODAY()),C63,IF(EDATE(C63,INT(((YEAR(TODAY())-YEAR(C63))*12+MONTH(TODAY())-MONTH(C63))/L63)*L63)&gt;=TODAY(),EDATE(C63,INT(((YEAR(TODAY())-YEAR(C63))*12+MONTH(TODAY())-MONTH(C63))/L63)*L63),EDATE(C63,(INT(((YEAR(TODAY())-YEAR(C63))*12+MONTH(TODAY())-MONTH(C63))/L63)+1)*L63))))</f>
        <v/>
      </c>
      <c r="F63" s="38" t="str">
        <f aca="true">IF(OR(E63="",H63="☑"),"",E63-TODAY())</f>
        <v/>
      </c>
      <c r="G63" s="32" t="str">
        <f aca="false">IF(H63="☑","Fatto",IF(E63="","",IF(F63&lt;0,"Scaduta",IF(F63&lt;=7,"Questa settimana",IF(F63&lt;=30,"Entro 30 giorni","Più avanti")))))</f>
        <v/>
      </c>
      <c r="H63" s="39"/>
      <c r="I63" s="30"/>
      <c r="J63" s="30"/>
      <c r="K63" s="30"/>
      <c r="L63" s="32" t="n">
        <f aca="false">IF(D63="Ogni mese",1,IF(D63="Ogni 3 mesi",3,IF(D63="Ogni 6 mesi",6,IF(D63="Ogni anno",12,0))))</f>
        <v>0</v>
      </c>
    </row>
    <row r="64" customFormat="false" ht="19.5" hidden="false" customHeight="true" outlineLevel="0" collapsed="false">
      <c r="A64" s="34"/>
      <c r="B64" s="34"/>
      <c r="C64" s="35"/>
      <c r="D64" s="34"/>
      <c r="E64" s="37" t="str">
        <f aca="true">IF(C64="","",IF(OR(L64=0,C64&gt;=TODAY()),C64,IF(EDATE(C64,INT(((YEAR(TODAY())-YEAR(C64))*12+MONTH(TODAY())-MONTH(C64))/L64)*L64)&gt;=TODAY(),EDATE(C64,INT(((YEAR(TODAY())-YEAR(C64))*12+MONTH(TODAY())-MONTH(C64))/L64)*L64),EDATE(C64,(INT(((YEAR(TODAY())-YEAR(C64))*12+MONTH(TODAY())-MONTH(C64))/L64)+1)*L64))))</f>
        <v/>
      </c>
      <c r="F64" s="38" t="str">
        <f aca="true">IF(OR(E64="",H64="☑"),"",E64-TODAY())</f>
        <v/>
      </c>
      <c r="G64" s="32" t="str">
        <f aca="false">IF(H64="☑","Fatto",IF(E64="","",IF(F64&lt;0,"Scaduta",IF(F64&lt;=7,"Questa settimana",IF(F64&lt;=30,"Entro 30 giorni","Più avanti")))))</f>
        <v/>
      </c>
      <c r="H64" s="40"/>
      <c r="I64" s="34"/>
      <c r="J64" s="34"/>
      <c r="K64" s="34"/>
      <c r="L64" s="32" t="n">
        <f aca="false">IF(D64="Ogni mese",1,IF(D64="Ogni 3 mesi",3,IF(D64="Ogni 6 mesi",6,IF(D64="Ogni anno",12,0))))</f>
        <v>0</v>
      </c>
    </row>
    <row r="65" customFormat="false" ht="19.5" hidden="false" customHeight="true" outlineLevel="0" collapsed="false">
      <c r="A65" s="30"/>
      <c r="B65" s="30"/>
      <c r="C65" s="31"/>
      <c r="D65" s="30"/>
      <c r="E65" s="37" t="str">
        <f aca="true">IF(C65="","",IF(OR(L65=0,C65&gt;=TODAY()),C65,IF(EDATE(C65,INT(((YEAR(TODAY())-YEAR(C65))*12+MONTH(TODAY())-MONTH(C65))/L65)*L65)&gt;=TODAY(),EDATE(C65,INT(((YEAR(TODAY())-YEAR(C65))*12+MONTH(TODAY())-MONTH(C65))/L65)*L65),EDATE(C65,(INT(((YEAR(TODAY())-YEAR(C65))*12+MONTH(TODAY())-MONTH(C65))/L65)+1)*L65))))</f>
        <v/>
      </c>
      <c r="F65" s="38" t="str">
        <f aca="true">IF(OR(E65="",H65="☑"),"",E65-TODAY())</f>
        <v/>
      </c>
      <c r="G65" s="32" t="str">
        <f aca="false">IF(H65="☑","Fatto",IF(E65="","",IF(F65&lt;0,"Scaduta",IF(F65&lt;=7,"Questa settimana",IF(F65&lt;=30,"Entro 30 giorni","Più avanti")))))</f>
        <v/>
      </c>
      <c r="H65" s="39"/>
      <c r="I65" s="30"/>
      <c r="J65" s="30"/>
      <c r="K65" s="30"/>
      <c r="L65" s="32" t="n">
        <f aca="false">IF(D65="Ogni mese",1,IF(D65="Ogni 3 mesi",3,IF(D65="Ogni 6 mesi",6,IF(D65="Ogni anno",12,0))))</f>
        <v>0</v>
      </c>
    </row>
    <row r="66" customFormat="false" ht="19.5" hidden="false" customHeight="true" outlineLevel="0" collapsed="false">
      <c r="A66" s="34"/>
      <c r="B66" s="34"/>
      <c r="C66" s="35"/>
      <c r="D66" s="34"/>
      <c r="E66" s="37" t="str">
        <f aca="true">IF(C66="","",IF(OR(L66=0,C66&gt;=TODAY()),C66,IF(EDATE(C66,INT(((YEAR(TODAY())-YEAR(C66))*12+MONTH(TODAY())-MONTH(C66))/L66)*L66)&gt;=TODAY(),EDATE(C66,INT(((YEAR(TODAY())-YEAR(C66))*12+MONTH(TODAY())-MONTH(C66))/L66)*L66),EDATE(C66,(INT(((YEAR(TODAY())-YEAR(C66))*12+MONTH(TODAY())-MONTH(C66))/L66)+1)*L66))))</f>
        <v/>
      </c>
      <c r="F66" s="38" t="str">
        <f aca="true">IF(OR(E66="",H66="☑"),"",E66-TODAY())</f>
        <v/>
      </c>
      <c r="G66" s="32" t="str">
        <f aca="false">IF(H66="☑","Fatto",IF(E66="","",IF(F66&lt;0,"Scaduta",IF(F66&lt;=7,"Questa settimana",IF(F66&lt;=30,"Entro 30 giorni","Più avanti")))))</f>
        <v/>
      </c>
      <c r="H66" s="40"/>
      <c r="I66" s="34"/>
      <c r="J66" s="34"/>
      <c r="K66" s="34"/>
      <c r="L66" s="32" t="n">
        <f aca="false">IF(D66="Ogni mese",1,IF(D66="Ogni 3 mesi",3,IF(D66="Ogni 6 mesi",6,IF(D66="Ogni anno",12,0))))</f>
        <v>0</v>
      </c>
    </row>
    <row r="67" customFormat="false" ht="19.5" hidden="false" customHeight="true" outlineLevel="0" collapsed="false">
      <c r="A67" s="30"/>
      <c r="B67" s="30"/>
      <c r="C67" s="31"/>
      <c r="D67" s="30"/>
      <c r="E67" s="37" t="str">
        <f aca="true">IF(C67="","",IF(OR(L67=0,C67&gt;=TODAY()),C67,IF(EDATE(C67,INT(((YEAR(TODAY())-YEAR(C67))*12+MONTH(TODAY())-MONTH(C67))/L67)*L67)&gt;=TODAY(),EDATE(C67,INT(((YEAR(TODAY())-YEAR(C67))*12+MONTH(TODAY())-MONTH(C67))/L67)*L67),EDATE(C67,(INT(((YEAR(TODAY())-YEAR(C67))*12+MONTH(TODAY())-MONTH(C67))/L67)+1)*L67))))</f>
        <v/>
      </c>
      <c r="F67" s="38" t="str">
        <f aca="true">IF(OR(E67="",H67="☑"),"",E67-TODAY())</f>
        <v/>
      </c>
      <c r="G67" s="32" t="str">
        <f aca="false">IF(H67="☑","Fatto",IF(E67="","",IF(F67&lt;0,"Scaduta",IF(F67&lt;=7,"Questa settimana",IF(F67&lt;=30,"Entro 30 giorni","Più avanti")))))</f>
        <v/>
      </c>
      <c r="H67" s="39"/>
      <c r="I67" s="30"/>
      <c r="J67" s="30"/>
      <c r="K67" s="30"/>
      <c r="L67" s="32" t="n">
        <f aca="false">IF(D67="Ogni mese",1,IF(D67="Ogni 3 mesi",3,IF(D67="Ogni 6 mesi",6,IF(D67="Ogni anno",12,0))))</f>
        <v>0</v>
      </c>
    </row>
    <row r="68" customFormat="false" ht="19.5" hidden="false" customHeight="true" outlineLevel="0" collapsed="false">
      <c r="A68" s="34"/>
      <c r="B68" s="34"/>
      <c r="C68" s="35"/>
      <c r="D68" s="34"/>
      <c r="E68" s="37" t="str">
        <f aca="true">IF(C68="","",IF(OR(L68=0,C68&gt;=TODAY()),C68,IF(EDATE(C68,INT(((YEAR(TODAY())-YEAR(C68))*12+MONTH(TODAY())-MONTH(C68))/L68)*L68)&gt;=TODAY(),EDATE(C68,INT(((YEAR(TODAY())-YEAR(C68))*12+MONTH(TODAY())-MONTH(C68))/L68)*L68),EDATE(C68,(INT(((YEAR(TODAY())-YEAR(C68))*12+MONTH(TODAY())-MONTH(C68))/L68)+1)*L68))))</f>
        <v/>
      </c>
      <c r="F68" s="38" t="str">
        <f aca="true">IF(OR(E68="",H68="☑"),"",E68-TODAY())</f>
        <v/>
      </c>
      <c r="G68" s="32" t="str">
        <f aca="false">IF(H68="☑","Fatto",IF(E68="","",IF(F68&lt;0,"Scaduta",IF(F68&lt;=7,"Questa settimana",IF(F68&lt;=30,"Entro 30 giorni","Più avanti")))))</f>
        <v/>
      </c>
      <c r="H68" s="40"/>
      <c r="I68" s="34"/>
      <c r="J68" s="34"/>
      <c r="K68" s="34"/>
      <c r="L68" s="32" t="n">
        <f aca="false">IF(D68="Ogni mese",1,IF(D68="Ogni 3 mesi",3,IF(D68="Ogni 6 mesi",6,IF(D68="Ogni anno",12,0))))</f>
        <v>0</v>
      </c>
    </row>
    <row r="69" customFormat="false" ht="19.5" hidden="false" customHeight="true" outlineLevel="0" collapsed="false">
      <c r="A69" s="30"/>
      <c r="B69" s="30"/>
      <c r="C69" s="31"/>
      <c r="D69" s="30"/>
      <c r="E69" s="37" t="str">
        <f aca="true">IF(C69="","",IF(OR(L69=0,C69&gt;=TODAY()),C69,IF(EDATE(C69,INT(((YEAR(TODAY())-YEAR(C69))*12+MONTH(TODAY())-MONTH(C69))/L69)*L69)&gt;=TODAY(),EDATE(C69,INT(((YEAR(TODAY())-YEAR(C69))*12+MONTH(TODAY())-MONTH(C69))/L69)*L69),EDATE(C69,(INT(((YEAR(TODAY())-YEAR(C69))*12+MONTH(TODAY())-MONTH(C69))/L69)+1)*L69))))</f>
        <v/>
      </c>
      <c r="F69" s="38" t="str">
        <f aca="true">IF(OR(E69="",H69="☑"),"",E69-TODAY())</f>
        <v/>
      </c>
      <c r="G69" s="32" t="str">
        <f aca="false">IF(H69="☑","Fatto",IF(E69="","",IF(F69&lt;0,"Scaduta",IF(F69&lt;=7,"Questa settimana",IF(F69&lt;=30,"Entro 30 giorni","Più avanti")))))</f>
        <v/>
      </c>
      <c r="H69" s="39"/>
      <c r="I69" s="30"/>
      <c r="J69" s="30"/>
      <c r="K69" s="30"/>
      <c r="L69" s="32" t="n">
        <f aca="false">IF(D69="Ogni mese",1,IF(D69="Ogni 3 mesi",3,IF(D69="Ogni 6 mesi",6,IF(D69="Ogni anno",12,0))))</f>
        <v>0</v>
      </c>
    </row>
    <row r="70" customFormat="false" ht="19.5" hidden="false" customHeight="true" outlineLevel="0" collapsed="false">
      <c r="A70" s="34"/>
      <c r="B70" s="34"/>
      <c r="C70" s="35"/>
      <c r="D70" s="34"/>
      <c r="E70" s="37" t="str">
        <f aca="true">IF(C70="","",IF(OR(L70=0,C70&gt;=TODAY()),C70,IF(EDATE(C70,INT(((YEAR(TODAY())-YEAR(C70))*12+MONTH(TODAY())-MONTH(C70))/L70)*L70)&gt;=TODAY(),EDATE(C70,INT(((YEAR(TODAY())-YEAR(C70))*12+MONTH(TODAY())-MONTH(C70))/L70)*L70),EDATE(C70,(INT(((YEAR(TODAY())-YEAR(C70))*12+MONTH(TODAY())-MONTH(C70))/L70)+1)*L70))))</f>
        <v/>
      </c>
      <c r="F70" s="38" t="str">
        <f aca="true">IF(OR(E70="",H70="☑"),"",E70-TODAY())</f>
        <v/>
      </c>
      <c r="G70" s="32" t="str">
        <f aca="false">IF(H70="☑","Fatto",IF(E70="","",IF(F70&lt;0,"Scaduta",IF(F70&lt;=7,"Questa settimana",IF(F70&lt;=30,"Entro 30 giorni","Più avanti")))))</f>
        <v/>
      </c>
      <c r="H70" s="40"/>
      <c r="I70" s="34"/>
      <c r="J70" s="34"/>
      <c r="K70" s="34"/>
      <c r="L70" s="32" t="n">
        <f aca="false">IF(D70="Ogni mese",1,IF(D70="Ogni 3 mesi",3,IF(D70="Ogni 6 mesi",6,IF(D70="Ogni anno",12,0))))</f>
        <v>0</v>
      </c>
    </row>
    <row r="71" customFormat="false" ht="19.5" hidden="false" customHeight="true" outlineLevel="0" collapsed="false">
      <c r="A71" s="30"/>
      <c r="B71" s="30"/>
      <c r="C71" s="31"/>
      <c r="D71" s="30"/>
      <c r="E71" s="37" t="str">
        <f aca="true">IF(C71="","",IF(OR(L71=0,C71&gt;=TODAY()),C71,IF(EDATE(C71,INT(((YEAR(TODAY())-YEAR(C71))*12+MONTH(TODAY())-MONTH(C71))/L71)*L71)&gt;=TODAY(),EDATE(C71,INT(((YEAR(TODAY())-YEAR(C71))*12+MONTH(TODAY())-MONTH(C71))/L71)*L71),EDATE(C71,(INT(((YEAR(TODAY())-YEAR(C71))*12+MONTH(TODAY())-MONTH(C71))/L71)+1)*L71))))</f>
        <v/>
      </c>
      <c r="F71" s="38" t="str">
        <f aca="true">IF(OR(E71="",H71="☑"),"",E71-TODAY())</f>
        <v/>
      </c>
      <c r="G71" s="32" t="str">
        <f aca="false">IF(H71="☑","Fatto",IF(E71="","",IF(F71&lt;0,"Scaduta",IF(F71&lt;=7,"Questa settimana",IF(F71&lt;=30,"Entro 30 giorni","Più avanti")))))</f>
        <v/>
      </c>
      <c r="H71" s="39"/>
      <c r="I71" s="30"/>
      <c r="J71" s="30"/>
      <c r="K71" s="30"/>
      <c r="L71" s="32" t="n">
        <f aca="false">IF(D71="Ogni mese",1,IF(D71="Ogni 3 mesi",3,IF(D71="Ogni 6 mesi",6,IF(D71="Ogni anno",12,0))))</f>
        <v>0</v>
      </c>
    </row>
    <row r="72" customFormat="false" ht="19.5" hidden="false" customHeight="true" outlineLevel="0" collapsed="false">
      <c r="A72" s="34"/>
      <c r="B72" s="34"/>
      <c r="C72" s="35"/>
      <c r="D72" s="34"/>
      <c r="E72" s="37" t="str">
        <f aca="true">IF(C72="","",IF(OR(L72=0,C72&gt;=TODAY()),C72,IF(EDATE(C72,INT(((YEAR(TODAY())-YEAR(C72))*12+MONTH(TODAY())-MONTH(C72))/L72)*L72)&gt;=TODAY(),EDATE(C72,INT(((YEAR(TODAY())-YEAR(C72))*12+MONTH(TODAY())-MONTH(C72))/L72)*L72),EDATE(C72,(INT(((YEAR(TODAY())-YEAR(C72))*12+MONTH(TODAY())-MONTH(C72))/L72)+1)*L72))))</f>
        <v/>
      </c>
      <c r="F72" s="38" t="str">
        <f aca="true">IF(OR(E72="",H72="☑"),"",E72-TODAY())</f>
        <v/>
      </c>
      <c r="G72" s="32" t="str">
        <f aca="false">IF(H72="☑","Fatto",IF(E72="","",IF(F72&lt;0,"Scaduta",IF(F72&lt;=7,"Questa settimana",IF(F72&lt;=30,"Entro 30 giorni","Più avanti")))))</f>
        <v/>
      </c>
      <c r="H72" s="40"/>
      <c r="I72" s="34"/>
      <c r="J72" s="34"/>
      <c r="K72" s="34"/>
      <c r="L72" s="32" t="n">
        <f aca="false">IF(D72="Ogni mese",1,IF(D72="Ogni 3 mesi",3,IF(D72="Ogni 6 mesi",6,IF(D72="Ogni anno",12,0))))</f>
        <v>0</v>
      </c>
    </row>
    <row r="73" customFormat="false" ht="19.5" hidden="false" customHeight="true" outlineLevel="0" collapsed="false">
      <c r="A73" s="30"/>
      <c r="B73" s="30"/>
      <c r="C73" s="31"/>
      <c r="D73" s="30"/>
      <c r="E73" s="37" t="str">
        <f aca="true">IF(C73="","",IF(OR(L73=0,C73&gt;=TODAY()),C73,IF(EDATE(C73,INT(((YEAR(TODAY())-YEAR(C73))*12+MONTH(TODAY())-MONTH(C73))/L73)*L73)&gt;=TODAY(),EDATE(C73,INT(((YEAR(TODAY())-YEAR(C73))*12+MONTH(TODAY())-MONTH(C73))/L73)*L73),EDATE(C73,(INT(((YEAR(TODAY())-YEAR(C73))*12+MONTH(TODAY())-MONTH(C73))/L73)+1)*L73))))</f>
        <v/>
      </c>
      <c r="F73" s="38" t="str">
        <f aca="true">IF(OR(E73="",H73="☑"),"",E73-TODAY())</f>
        <v/>
      </c>
      <c r="G73" s="32" t="str">
        <f aca="false">IF(H73="☑","Fatto",IF(E73="","",IF(F73&lt;0,"Scaduta",IF(F73&lt;=7,"Questa settimana",IF(F73&lt;=30,"Entro 30 giorni","Più avanti")))))</f>
        <v/>
      </c>
      <c r="H73" s="39"/>
      <c r="I73" s="30"/>
      <c r="J73" s="30"/>
      <c r="K73" s="30"/>
      <c r="L73" s="32" t="n">
        <f aca="false">IF(D73="Ogni mese",1,IF(D73="Ogni 3 mesi",3,IF(D73="Ogni 6 mesi",6,IF(D73="Ogni anno",12,0))))</f>
        <v>0</v>
      </c>
    </row>
    <row r="74" customFormat="false" ht="19.5" hidden="false" customHeight="true" outlineLevel="0" collapsed="false">
      <c r="A74" s="34"/>
      <c r="B74" s="34"/>
      <c r="C74" s="35"/>
      <c r="D74" s="34"/>
      <c r="E74" s="37" t="str">
        <f aca="true">IF(C74="","",IF(OR(L74=0,C74&gt;=TODAY()),C74,IF(EDATE(C74,INT(((YEAR(TODAY())-YEAR(C74))*12+MONTH(TODAY())-MONTH(C74))/L74)*L74)&gt;=TODAY(),EDATE(C74,INT(((YEAR(TODAY())-YEAR(C74))*12+MONTH(TODAY())-MONTH(C74))/L74)*L74),EDATE(C74,(INT(((YEAR(TODAY())-YEAR(C74))*12+MONTH(TODAY())-MONTH(C74))/L74)+1)*L74))))</f>
        <v/>
      </c>
      <c r="F74" s="38" t="str">
        <f aca="true">IF(OR(E74="",H74="☑"),"",E74-TODAY())</f>
        <v/>
      </c>
      <c r="G74" s="32" t="str">
        <f aca="false">IF(H74="☑","Fatto",IF(E74="","",IF(F74&lt;0,"Scaduta",IF(F74&lt;=7,"Questa settimana",IF(F74&lt;=30,"Entro 30 giorni","Più avanti")))))</f>
        <v/>
      </c>
      <c r="H74" s="40"/>
      <c r="I74" s="34"/>
      <c r="J74" s="34"/>
      <c r="K74" s="34"/>
      <c r="L74" s="32" t="n">
        <f aca="false">IF(D74="Ogni mese",1,IF(D74="Ogni 3 mesi",3,IF(D74="Ogni 6 mesi",6,IF(D74="Ogni anno",12,0))))</f>
        <v>0</v>
      </c>
    </row>
    <row r="75" customFormat="false" ht="19.5" hidden="false" customHeight="true" outlineLevel="0" collapsed="false">
      <c r="A75" s="30"/>
      <c r="B75" s="30"/>
      <c r="C75" s="31"/>
      <c r="D75" s="30"/>
      <c r="E75" s="37" t="str">
        <f aca="true">IF(C75="","",IF(OR(L75=0,C75&gt;=TODAY()),C75,IF(EDATE(C75,INT(((YEAR(TODAY())-YEAR(C75))*12+MONTH(TODAY())-MONTH(C75))/L75)*L75)&gt;=TODAY(),EDATE(C75,INT(((YEAR(TODAY())-YEAR(C75))*12+MONTH(TODAY())-MONTH(C75))/L75)*L75),EDATE(C75,(INT(((YEAR(TODAY())-YEAR(C75))*12+MONTH(TODAY())-MONTH(C75))/L75)+1)*L75))))</f>
        <v/>
      </c>
      <c r="F75" s="38" t="str">
        <f aca="true">IF(OR(E75="",H75="☑"),"",E75-TODAY())</f>
        <v/>
      </c>
      <c r="G75" s="32" t="str">
        <f aca="false">IF(H75="☑","Fatto",IF(E75="","",IF(F75&lt;0,"Scaduta",IF(F75&lt;=7,"Questa settimana",IF(F75&lt;=30,"Entro 30 giorni","Più avanti")))))</f>
        <v/>
      </c>
      <c r="H75" s="39"/>
      <c r="I75" s="30"/>
      <c r="J75" s="30"/>
      <c r="K75" s="30"/>
      <c r="L75" s="32" t="n">
        <f aca="false">IF(D75="Ogni mese",1,IF(D75="Ogni 3 mesi",3,IF(D75="Ogni 6 mesi",6,IF(D75="Ogni anno",12,0))))</f>
        <v>0</v>
      </c>
    </row>
    <row r="76" customFormat="false" ht="19.5" hidden="false" customHeight="true" outlineLevel="0" collapsed="false">
      <c r="A76" s="34"/>
      <c r="B76" s="34"/>
      <c r="C76" s="35"/>
      <c r="D76" s="34"/>
      <c r="E76" s="37" t="str">
        <f aca="true">IF(C76="","",IF(OR(L76=0,C76&gt;=TODAY()),C76,IF(EDATE(C76,INT(((YEAR(TODAY())-YEAR(C76))*12+MONTH(TODAY())-MONTH(C76))/L76)*L76)&gt;=TODAY(),EDATE(C76,INT(((YEAR(TODAY())-YEAR(C76))*12+MONTH(TODAY())-MONTH(C76))/L76)*L76),EDATE(C76,(INT(((YEAR(TODAY())-YEAR(C76))*12+MONTH(TODAY())-MONTH(C76))/L76)+1)*L76))))</f>
        <v/>
      </c>
      <c r="F76" s="38" t="str">
        <f aca="true">IF(OR(E76="",H76="☑"),"",E76-TODAY())</f>
        <v/>
      </c>
      <c r="G76" s="32" t="str">
        <f aca="false">IF(H76="☑","Fatto",IF(E76="","",IF(F76&lt;0,"Scaduta",IF(F76&lt;=7,"Questa settimana",IF(F76&lt;=30,"Entro 30 giorni","Più avanti")))))</f>
        <v/>
      </c>
      <c r="H76" s="40"/>
      <c r="I76" s="34"/>
      <c r="J76" s="34"/>
      <c r="K76" s="34"/>
      <c r="L76" s="32" t="n">
        <f aca="false">IF(D76="Ogni mese",1,IF(D76="Ogni 3 mesi",3,IF(D76="Ogni 6 mesi",6,IF(D76="Ogni anno",12,0))))</f>
        <v>0</v>
      </c>
    </row>
    <row r="77" customFormat="false" ht="19.5" hidden="false" customHeight="true" outlineLevel="0" collapsed="false">
      <c r="A77" s="30"/>
      <c r="B77" s="30"/>
      <c r="C77" s="31"/>
      <c r="D77" s="30"/>
      <c r="E77" s="37" t="str">
        <f aca="true">IF(C77="","",IF(OR(L77=0,C77&gt;=TODAY()),C77,IF(EDATE(C77,INT(((YEAR(TODAY())-YEAR(C77))*12+MONTH(TODAY())-MONTH(C77))/L77)*L77)&gt;=TODAY(),EDATE(C77,INT(((YEAR(TODAY())-YEAR(C77))*12+MONTH(TODAY())-MONTH(C77))/L77)*L77),EDATE(C77,(INT(((YEAR(TODAY())-YEAR(C77))*12+MONTH(TODAY())-MONTH(C77))/L77)+1)*L77))))</f>
        <v/>
      </c>
      <c r="F77" s="38" t="str">
        <f aca="true">IF(OR(E77="",H77="☑"),"",E77-TODAY())</f>
        <v/>
      </c>
      <c r="G77" s="32" t="str">
        <f aca="false">IF(H77="☑","Fatto",IF(E77="","",IF(F77&lt;0,"Scaduta",IF(F77&lt;=7,"Questa settimana",IF(F77&lt;=30,"Entro 30 giorni","Più avanti")))))</f>
        <v/>
      </c>
      <c r="H77" s="39"/>
      <c r="I77" s="30"/>
      <c r="J77" s="30"/>
      <c r="K77" s="30"/>
      <c r="L77" s="32" t="n">
        <f aca="false">IF(D77="Ogni mese",1,IF(D77="Ogni 3 mesi",3,IF(D77="Ogni 6 mesi",6,IF(D77="Ogni anno",12,0))))</f>
        <v>0</v>
      </c>
    </row>
    <row r="78" customFormat="false" ht="19.5" hidden="false" customHeight="true" outlineLevel="0" collapsed="false">
      <c r="A78" s="34"/>
      <c r="B78" s="34"/>
      <c r="C78" s="35"/>
      <c r="D78" s="34"/>
      <c r="E78" s="37" t="str">
        <f aca="true">IF(C78="","",IF(OR(L78=0,C78&gt;=TODAY()),C78,IF(EDATE(C78,INT(((YEAR(TODAY())-YEAR(C78))*12+MONTH(TODAY())-MONTH(C78))/L78)*L78)&gt;=TODAY(),EDATE(C78,INT(((YEAR(TODAY())-YEAR(C78))*12+MONTH(TODAY())-MONTH(C78))/L78)*L78),EDATE(C78,(INT(((YEAR(TODAY())-YEAR(C78))*12+MONTH(TODAY())-MONTH(C78))/L78)+1)*L78))))</f>
        <v/>
      </c>
      <c r="F78" s="38" t="str">
        <f aca="true">IF(OR(E78="",H78="☑"),"",E78-TODAY())</f>
        <v/>
      </c>
      <c r="G78" s="32" t="str">
        <f aca="false">IF(H78="☑","Fatto",IF(E78="","",IF(F78&lt;0,"Scaduta",IF(F78&lt;=7,"Questa settimana",IF(F78&lt;=30,"Entro 30 giorni","Più avanti")))))</f>
        <v/>
      </c>
      <c r="H78" s="40"/>
      <c r="I78" s="34"/>
      <c r="J78" s="34"/>
      <c r="K78" s="34"/>
      <c r="L78" s="32" t="n">
        <f aca="false">IF(D78="Ogni mese",1,IF(D78="Ogni 3 mesi",3,IF(D78="Ogni 6 mesi",6,IF(D78="Ogni anno",12,0))))</f>
        <v>0</v>
      </c>
    </row>
    <row r="79" customFormat="false" ht="19.5" hidden="false" customHeight="true" outlineLevel="0" collapsed="false">
      <c r="A79" s="30"/>
      <c r="B79" s="30"/>
      <c r="C79" s="31"/>
      <c r="D79" s="30"/>
      <c r="E79" s="37" t="str">
        <f aca="true">IF(C79="","",IF(OR(L79=0,C79&gt;=TODAY()),C79,IF(EDATE(C79,INT(((YEAR(TODAY())-YEAR(C79))*12+MONTH(TODAY())-MONTH(C79))/L79)*L79)&gt;=TODAY(),EDATE(C79,INT(((YEAR(TODAY())-YEAR(C79))*12+MONTH(TODAY())-MONTH(C79))/L79)*L79),EDATE(C79,(INT(((YEAR(TODAY())-YEAR(C79))*12+MONTH(TODAY())-MONTH(C79))/L79)+1)*L79))))</f>
        <v/>
      </c>
      <c r="F79" s="38" t="str">
        <f aca="true">IF(OR(E79="",H79="☑"),"",E79-TODAY())</f>
        <v/>
      </c>
      <c r="G79" s="32" t="str">
        <f aca="false">IF(H79="☑","Fatto",IF(E79="","",IF(F79&lt;0,"Scaduta",IF(F79&lt;=7,"Questa settimana",IF(F79&lt;=30,"Entro 30 giorni","Più avanti")))))</f>
        <v/>
      </c>
      <c r="H79" s="39"/>
      <c r="I79" s="30"/>
      <c r="J79" s="30"/>
      <c r="K79" s="30"/>
      <c r="L79" s="32" t="n">
        <f aca="false">IF(D79="Ogni mese",1,IF(D79="Ogni 3 mesi",3,IF(D79="Ogni 6 mesi",6,IF(D79="Ogni anno",12,0))))</f>
        <v>0</v>
      </c>
    </row>
    <row r="80" customFormat="false" ht="19.5" hidden="false" customHeight="true" outlineLevel="0" collapsed="false">
      <c r="A80" s="34"/>
      <c r="B80" s="34"/>
      <c r="C80" s="35"/>
      <c r="D80" s="34"/>
      <c r="E80" s="37" t="str">
        <f aca="true">IF(C80="","",IF(OR(L80=0,C80&gt;=TODAY()),C80,IF(EDATE(C80,INT(((YEAR(TODAY())-YEAR(C80))*12+MONTH(TODAY())-MONTH(C80))/L80)*L80)&gt;=TODAY(),EDATE(C80,INT(((YEAR(TODAY())-YEAR(C80))*12+MONTH(TODAY())-MONTH(C80))/L80)*L80),EDATE(C80,(INT(((YEAR(TODAY())-YEAR(C80))*12+MONTH(TODAY())-MONTH(C80))/L80)+1)*L80))))</f>
        <v/>
      </c>
      <c r="F80" s="38" t="str">
        <f aca="true">IF(OR(E80="",H80="☑"),"",E80-TODAY())</f>
        <v/>
      </c>
      <c r="G80" s="32" t="str">
        <f aca="false">IF(H80="☑","Fatto",IF(E80="","",IF(F80&lt;0,"Scaduta",IF(F80&lt;=7,"Questa settimana",IF(F80&lt;=30,"Entro 30 giorni","Più avanti")))))</f>
        <v/>
      </c>
      <c r="H80" s="40"/>
      <c r="I80" s="34"/>
      <c r="J80" s="34"/>
      <c r="K80" s="34"/>
      <c r="L80" s="32" t="n">
        <f aca="false">IF(D80="Ogni mese",1,IF(D80="Ogni 3 mesi",3,IF(D80="Ogni 6 mesi",6,IF(D80="Ogni anno",12,0))))</f>
        <v>0</v>
      </c>
    </row>
    <row r="81" customFormat="false" ht="19.5" hidden="false" customHeight="true" outlineLevel="0" collapsed="false">
      <c r="A81" s="30"/>
      <c r="B81" s="30"/>
      <c r="C81" s="31"/>
      <c r="D81" s="30"/>
      <c r="E81" s="37" t="str">
        <f aca="true">IF(C81="","",IF(OR(L81=0,C81&gt;=TODAY()),C81,IF(EDATE(C81,INT(((YEAR(TODAY())-YEAR(C81))*12+MONTH(TODAY())-MONTH(C81))/L81)*L81)&gt;=TODAY(),EDATE(C81,INT(((YEAR(TODAY())-YEAR(C81))*12+MONTH(TODAY())-MONTH(C81))/L81)*L81),EDATE(C81,(INT(((YEAR(TODAY())-YEAR(C81))*12+MONTH(TODAY())-MONTH(C81))/L81)+1)*L81))))</f>
        <v/>
      </c>
      <c r="F81" s="38" t="str">
        <f aca="true">IF(OR(E81="",H81="☑"),"",E81-TODAY())</f>
        <v/>
      </c>
      <c r="G81" s="32" t="str">
        <f aca="false">IF(H81="☑","Fatto",IF(E81="","",IF(F81&lt;0,"Scaduta",IF(F81&lt;=7,"Questa settimana",IF(F81&lt;=30,"Entro 30 giorni","Più avanti")))))</f>
        <v/>
      </c>
      <c r="H81" s="39"/>
      <c r="I81" s="30"/>
      <c r="J81" s="30"/>
      <c r="K81" s="30"/>
      <c r="L81" s="32" t="n">
        <f aca="false">IF(D81="Ogni mese",1,IF(D81="Ogni 3 mesi",3,IF(D81="Ogni 6 mesi",6,IF(D81="Ogni anno",12,0))))</f>
        <v>0</v>
      </c>
    </row>
    <row r="82" customFormat="false" ht="19.5" hidden="false" customHeight="true" outlineLevel="0" collapsed="false">
      <c r="A82" s="34"/>
      <c r="B82" s="34"/>
      <c r="C82" s="35"/>
      <c r="D82" s="34"/>
      <c r="E82" s="37" t="str">
        <f aca="true">IF(C82="","",IF(OR(L82=0,C82&gt;=TODAY()),C82,IF(EDATE(C82,INT(((YEAR(TODAY())-YEAR(C82))*12+MONTH(TODAY())-MONTH(C82))/L82)*L82)&gt;=TODAY(),EDATE(C82,INT(((YEAR(TODAY())-YEAR(C82))*12+MONTH(TODAY())-MONTH(C82))/L82)*L82),EDATE(C82,(INT(((YEAR(TODAY())-YEAR(C82))*12+MONTH(TODAY())-MONTH(C82))/L82)+1)*L82))))</f>
        <v/>
      </c>
      <c r="F82" s="38" t="str">
        <f aca="true">IF(OR(E82="",H82="☑"),"",E82-TODAY())</f>
        <v/>
      </c>
      <c r="G82" s="32" t="str">
        <f aca="false">IF(H82="☑","Fatto",IF(E82="","",IF(F82&lt;0,"Scaduta",IF(F82&lt;=7,"Questa settimana",IF(F82&lt;=30,"Entro 30 giorni","Più avanti")))))</f>
        <v/>
      </c>
      <c r="H82" s="40"/>
      <c r="I82" s="34"/>
      <c r="J82" s="34"/>
      <c r="K82" s="34"/>
      <c r="L82" s="32" t="n">
        <f aca="false">IF(D82="Ogni mese",1,IF(D82="Ogni 3 mesi",3,IF(D82="Ogni 6 mesi",6,IF(D82="Ogni anno",12,0))))</f>
        <v>0</v>
      </c>
    </row>
    <row r="83" customFormat="false" ht="19.5" hidden="false" customHeight="true" outlineLevel="0" collapsed="false">
      <c r="A83" s="30"/>
      <c r="B83" s="30"/>
      <c r="C83" s="31"/>
      <c r="D83" s="30"/>
      <c r="E83" s="37" t="str">
        <f aca="true">IF(C83="","",IF(OR(L83=0,C83&gt;=TODAY()),C83,IF(EDATE(C83,INT(((YEAR(TODAY())-YEAR(C83))*12+MONTH(TODAY())-MONTH(C83))/L83)*L83)&gt;=TODAY(),EDATE(C83,INT(((YEAR(TODAY())-YEAR(C83))*12+MONTH(TODAY())-MONTH(C83))/L83)*L83),EDATE(C83,(INT(((YEAR(TODAY())-YEAR(C83))*12+MONTH(TODAY())-MONTH(C83))/L83)+1)*L83))))</f>
        <v/>
      </c>
      <c r="F83" s="38" t="str">
        <f aca="true">IF(OR(E83="",H83="☑"),"",E83-TODAY())</f>
        <v/>
      </c>
      <c r="G83" s="32" t="str">
        <f aca="false">IF(H83="☑","Fatto",IF(E83="","",IF(F83&lt;0,"Scaduta",IF(F83&lt;=7,"Questa settimana",IF(F83&lt;=30,"Entro 30 giorni","Più avanti")))))</f>
        <v/>
      </c>
      <c r="H83" s="39"/>
      <c r="I83" s="30"/>
      <c r="J83" s="30"/>
      <c r="K83" s="30"/>
      <c r="L83" s="32" t="n">
        <f aca="false">IF(D83="Ogni mese",1,IF(D83="Ogni 3 mesi",3,IF(D83="Ogni 6 mesi",6,IF(D83="Ogni anno",12,0))))</f>
        <v>0</v>
      </c>
    </row>
    <row r="84" customFormat="false" ht="19.5" hidden="false" customHeight="true" outlineLevel="0" collapsed="false">
      <c r="A84" s="34"/>
      <c r="B84" s="34"/>
      <c r="C84" s="35"/>
      <c r="D84" s="34"/>
      <c r="E84" s="37" t="str">
        <f aca="true">IF(C84="","",IF(OR(L84=0,C84&gt;=TODAY()),C84,IF(EDATE(C84,INT(((YEAR(TODAY())-YEAR(C84))*12+MONTH(TODAY())-MONTH(C84))/L84)*L84)&gt;=TODAY(),EDATE(C84,INT(((YEAR(TODAY())-YEAR(C84))*12+MONTH(TODAY())-MONTH(C84))/L84)*L84),EDATE(C84,(INT(((YEAR(TODAY())-YEAR(C84))*12+MONTH(TODAY())-MONTH(C84))/L84)+1)*L84))))</f>
        <v/>
      </c>
      <c r="F84" s="38" t="str">
        <f aca="true">IF(OR(E84="",H84="☑"),"",E84-TODAY())</f>
        <v/>
      </c>
      <c r="G84" s="32" t="str">
        <f aca="false">IF(H84="☑","Fatto",IF(E84="","",IF(F84&lt;0,"Scaduta",IF(F84&lt;=7,"Questa settimana",IF(F84&lt;=30,"Entro 30 giorni","Più avanti")))))</f>
        <v/>
      </c>
      <c r="H84" s="40"/>
      <c r="I84" s="34"/>
      <c r="J84" s="34"/>
      <c r="K84" s="34"/>
      <c r="L84" s="32" t="n">
        <f aca="false">IF(D84="Ogni mese",1,IF(D84="Ogni 3 mesi",3,IF(D84="Ogni 6 mesi",6,IF(D84="Ogni anno",12,0))))</f>
        <v>0</v>
      </c>
    </row>
    <row r="85" customFormat="false" ht="19.5" hidden="false" customHeight="true" outlineLevel="0" collapsed="false">
      <c r="A85" s="30"/>
      <c r="B85" s="30"/>
      <c r="C85" s="31"/>
      <c r="D85" s="30"/>
      <c r="E85" s="37" t="str">
        <f aca="true">IF(C85="","",IF(OR(L85=0,C85&gt;=TODAY()),C85,IF(EDATE(C85,INT(((YEAR(TODAY())-YEAR(C85))*12+MONTH(TODAY())-MONTH(C85))/L85)*L85)&gt;=TODAY(),EDATE(C85,INT(((YEAR(TODAY())-YEAR(C85))*12+MONTH(TODAY())-MONTH(C85))/L85)*L85),EDATE(C85,(INT(((YEAR(TODAY())-YEAR(C85))*12+MONTH(TODAY())-MONTH(C85))/L85)+1)*L85))))</f>
        <v/>
      </c>
      <c r="F85" s="38" t="str">
        <f aca="true">IF(OR(E85="",H85="☑"),"",E85-TODAY())</f>
        <v/>
      </c>
      <c r="G85" s="32" t="str">
        <f aca="false">IF(H85="☑","Fatto",IF(E85="","",IF(F85&lt;0,"Scaduta",IF(F85&lt;=7,"Questa settimana",IF(F85&lt;=30,"Entro 30 giorni","Più avanti")))))</f>
        <v/>
      </c>
      <c r="H85" s="39"/>
      <c r="I85" s="30"/>
      <c r="J85" s="30"/>
      <c r="K85" s="30"/>
      <c r="L85" s="32" t="n">
        <f aca="false">IF(D85="Ogni mese",1,IF(D85="Ogni 3 mesi",3,IF(D85="Ogni 6 mesi",6,IF(D85="Ogni anno",12,0))))</f>
        <v>0</v>
      </c>
    </row>
    <row r="86" customFormat="false" ht="19.5" hidden="false" customHeight="true" outlineLevel="0" collapsed="false">
      <c r="A86" s="34"/>
      <c r="B86" s="34"/>
      <c r="C86" s="35"/>
      <c r="D86" s="34"/>
      <c r="E86" s="37" t="str">
        <f aca="true">IF(C86="","",IF(OR(L86=0,C86&gt;=TODAY()),C86,IF(EDATE(C86,INT(((YEAR(TODAY())-YEAR(C86))*12+MONTH(TODAY())-MONTH(C86))/L86)*L86)&gt;=TODAY(),EDATE(C86,INT(((YEAR(TODAY())-YEAR(C86))*12+MONTH(TODAY())-MONTH(C86))/L86)*L86),EDATE(C86,(INT(((YEAR(TODAY())-YEAR(C86))*12+MONTH(TODAY())-MONTH(C86))/L86)+1)*L86))))</f>
        <v/>
      </c>
      <c r="F86" s="38" t="str">
        <f aca="true">IF(OR(E86="",H86="☑"),"",E86-TODAY())</f>
        <v/>
      </c>
      <c r="G86" s="32" t="str">
        <f aca="false">IF(H86="☑","Fatto",IF(E86="","",IF(F86&lt;0,"Scaduta",IF(F86&lt;=7,"Questa settimana",IF(F86&lt;=30,"Entro 30 giorni","Più avanti")))))</f>
        <v/>
      </c>
      <c r="H86" s="40"/>
      <c r="I86" s="34"/>
      <c r="J86" s="34"/>
      <c r="K86" s="34"/>
      <c r="L86" s="32" t="n">
        <f aca="false">IF(D86="Ogni mese",1,IF(D86="Ogni 3 mesi",3,IF(D86="Ogni 6 mesi",6,IF(D86="Ogni anno",12,0))))</f>
        <v>0</v>
      </c>
    </row>
    <row r="87" customFormat="false" ht="19.5" hidden="false" customHeight="true" outlineLevel="0" collapsed="false">
      <c r="A87" s="30"/>
      <c r="B87" s="30"/>
      <c r="C87" s="31"/>
      <c r="D87" s="30"/>
      <c r="E87" s="37" t="str">
        <f aca="true">IF(C87="","",IF(OR(L87=0,C87&gt;=TODAY()),C87,IF(EDATE(C87,INT(((YEAR(TODAY())-YEAR(C87))*12+MONTH(TODAY())-MONTH(C87))/L87)*L87)&gt;=TODAY(),EDATE(C87,INT(((YEAR(TODAY())-YEAR(C87))*12+MONTH(TODAY())-MONTH(C87))/L87)*L87),EDATE(C87,(INT(((YEAR(TODAY())-YEAR(C87))*12+MONTH(TODAY())-MONTH(C87))/L87)+1)*L87))))</f>
        <v/>
      </c>
      <c r="F87" s="38" t="str">
        <f aca="true">IF(OR(E87="",H87="☑"),"",E87-TODAY())</f>
        <v/>
      </c>
      <c r="G87" s="32" t="str">
        <f aca="false">IF(H87="☑","Fatto",IF(E87="","",IF(F87&lt;0,"Scaduta",IF(F87&lt;=7,"Questa settimana",IF(F87&lt;=30,"Entro 30 giorni","Più avanti")))))</f>
        <v/>
      </c>
      <c r="H87" s="39"/>
      <c r="I87" s="30"/>
      <c r="J87" s="30"/>
      <c r="K87" s="30"/>
      <c r="L87" s="32" t="n">
        <f aca="false">IF(D87="Ogni mese",1,IF(D87="Ogni 3 mesi",3,IF(D87="Ogni 6 mesi",6,IF(D87="Ogni anno",12,0))))</f>
        <v>0</v>
      </c>
    </row>
    <row r="88" customFormat="false" ht="19.5" hidden="false" customHeight="true" outlineLevel="0" collapsed="false">
      <c r="A88" s="34"/>
      <c r="B88" s="34"/>
      <c r="C88" s="35"/>
      <c r="D88" s="34"/>
      <c r="E88" s="37" t="str">
        <f aca="true">IF(C88="","",IF(OR(L88=0,C88&gt;=TODAY()),C88,IF(EDATE(C88,INT(((YEAR(TODAY())-YEAR(C88))*12+MONTH(TODAY())-MONTH(C88))/L88)*L88)&gt;=TODAY(),EDATE(C88,INT(((YEAR(TODAY())-YEAR(C88))*12+MONTH(TODAY())-MONTH(C88))/L88)*L88),EDATE(C88,(INT(((YEAR(TODAY())-YEAR(C88))*12+MONTH(TODAY())-MONTH(C88))/L88)+1)*L88))))</f>
        <v/>
      </c>
      <c r="F88" s="38" t="str">
        <f aca="true">IF(OR(E88="",H88="☑"),"",E88-TODAY())</f>
        <v/>
      </c>
      <c r="G88" s="32" t="str">
        <f aca="false">IF(H88="☑","Fatto",IF(E88="","",IF(F88&lt;0,"Scaduta",IF(F88&lt;=7,"Questa settimana",IF(F88&lt;=30,"Entro 30 giorni","Più avanti")))))</f>
        <v/>
      </c>
      <c r="H88" s="40"/>
      <c r="I88" s="34"/>
      <c r="J88" s="34"/>
      <c r="K88" s="34"/>
      <c r="L88" s="32" t="n">
        <f aca="false">IF(D88="Ogni mese",1,IF(D88="Ogni 3 mesi",3,IF(D88="Ogni 6 mesi",6,IF(D88="Ogni anno",12,0))))</f>
        <v>0</v>
      </c>
    </row>
    <row r="89" customFormat="false" ht="19.5" hidden="false" customHeight="true" outlineLevel="0" collapsed="false">
      <c r="A89" s="30"/>
      <c r="B89" s="30"/>
      <c r="C89" s="31"/>
      <c r="D89" s="30"/>
      <c r="E89" s="37" t="str">
        <f aca="true">IF(C89="","",IF(OR(L89=0,C89&gt;=TODAY()),C89,IF(EDATE(C89,INT(((YEAR(TODAY())-YEAR(C89))*12+MONTH(TODAY())-MONTH(C89))/L89)*L89)&gt;=TODAY(),EDATE(C89,INT(((YEAR(TODAY())-YEAR(C89))*12+MONTH(TODAY())-MONTH(C89))/L89)*L89),EDATE(C89,(INT(((YEAR(TODAY())-YEAR(C89))*12+MONTH(TODAY())-MONTH(C89))/L89)+1)*L89))))</f>
        <v/>
      </c>
      <c r="F89" s="38" t="str">
        <f aca="true">IF(OR(E89="",H89="☑"),"",E89-TODAY())</f>
        <v/>
      </c>
      <c r="G89" s="32" t="str">
        <f aca="false">IF(H89="☑","Fatto",IF(E89="","",IF(F89&lt;0,"Scaduta",IF(F89&lt;=7,"Questa settimana",IF(F89&lt;=30,"Entro 30 giorni","Più avanti")))))</f>
        <v/>
      </c>
      <c r="H89" s="39"/>
      <c r="I89" s="30"/>
      <c r="J89" s="30"/>
      <c r="K89" s="30"/>
      <c r="L89" s="32" t="n">
        <f aca="false">IF(D89="Ogni mese",1,IF(D89="Ogni 3 mesi",3,IF(D89="Ogni 6 mesi",6,IF(D89="Ogni anno",12,0))))</f>
        <v>0</v>
      </c>
    </row>
    <row r="90" customFormat="false" ht="19.5" hidden="false" customHeight="true" outlineLevel="0" collapsed="false">
      <c r="A90" s="34"/>
      <c r="B90" s="34"/>
      <c r="C90" s="35"/>
      <c r="D90" s="34"/>
      <c r="E90" s="37" t="str">
        <f aca="true">IF(C90="","",IF(OR(L90=0,C90&gt;=TODAY()),C90,IF(EDATE(C90,INT(((YEAR(TODAY())-YEAR(C90))*12+MONTH(TODAY())-MONTH(C90))/L90)*L90)&gt;=TODAY(),EDATE(C90,INT(((YEAR(TODAY())-YEAR(C90))*12+MONTH(TODAY())-MONTH(C90))/L90)*L90),EDATE(C90,(INT(((YEAR(TODAY())-YEAR(C90))*12+MONTH(TODAY())-MONTH(C90))/L90)+1)*L90))))</f>
        <v/>
      </c>
      <c r="F90" s="38" t="str">
        <f aca="true">IF(OR(E90="",H90="☑"),"",E90-TODAY())</f>
        <v/>
      </c>
      <c r="G90" s="32" t="str">
        <f aca="false">IF(H90="☑","Fatto",IF(E90="","",IF(F90&lt;0,"Scaduta",IF(F90&lt;=7,"Questa settimana",IF(F90&lt;=30,"Entro 30 giorni","Più avanti")))))</f>
        <v/>
      </c>
      <c r="H90" s="40"/>
      <c r="I90" s="34"/>
      <c r="J90" s="34"/>
      <c r="K90" s="34"/>
      <c r="L90" s="32" t="n">
        <f aca="false">IF(D90="Ogni mese",1,IF(D90="Ogni 3 mesi",3,IF(D90="Ogni 6 mesi",6,IF(D90="Ogni anno",12,0))))</f>
        <v>0</v>
      </c>
    </row>
    <row r="91" customFormat="false" ht="19.5" hidden="false" customHeight="true" outlineLevel="0" collapsed="false">
      <c r="A91" s="30"/>
      <c r="B91" s="30"/>
      <c r="C91" s="31"/>
      <c r="D91" s="30"/>
      <c r="E91" s="37" t="str">
        <f aca="true">IF(C91="","",IF(OR(L91=0,C91&gt;=TODAY()),C91,IF(EDATE(C91,INT(((YEAR(TODAY())-YEAR(C91))*12+MONTH(TODAY())-MONTH(C91))/L91)*L91)&gt;=TODAY(),EDATE(C91,INT(((YEAR(TODAY())-YEAR(C91))*12+MONTH(TODAY())-MONTH(C91))/L91)*L91),EDATE(C91,(INT(((YEAR(TODAY())-YEAR(C91))*12+MONTH(TODAY())-MONTH(C91))/L91)+1)*L91))))</f>
        <v/>
      </c>
      <c r="F91" s="38" t="str">
        <f aca="true">IF(OR(E91="",H91="☑"),"",E91-TODAY())</f>
        <v/>
      </c>
      <c r="G91" s="32" t="str">
        <f aca="false">IF(H91="☑","Fatto",IF(E91="","",IF(F91&lt;0,"Scaduta",IF(F91&lt;=7,"Questa settimana",IF(F91&lt;=30,"Entro 30 giorni","Più avanti")))))</f>
        <v/>
      </c>
      <c r="H91" s="39"/>
      <c r="I91" s="30"/>
      <c r="J91" s="30"/>
      <c r="K91" s="30"/>
      <c r="L91" s="32" t="n">
        <f aca="false">IF(D91="Ogni mese",1,IF(D91="Ogni 3 mesi",3,IF(D91="Ogni 6 mesi",6,IF(D91="Ogni anno",12,0))))</f>
        <v>0</v>
      </c>
    </row>
    <row r="92" customFormat="false" ht="19.5" hidden="false" customHeight="true" outlineLevel="0" collapsed="false">
      <c r="A92" s="34"/>
      <c r="B92" s="34"/>
      <c r="C92" s="35"/>
      <c r="D92" s="34"/>
      <c r="E92" s="37" t="str">
        <f aca="true">IF(C92="","",IF(OR(L92=0,C92&gt;=TODAY()),C92,IF(EDATE(C92,INT(((YEAR(TODAY())-YEAR(C92))*12+MONTH(TODAY())-MONTH(C92))/L92)*L92)&gt;=TODAY(),EDATE(C92,INT(((YEAR(TODAY())-YEAR(C92))*12+MONTH(TODAY())-MONTH(C92))/L92)*L92),EDATE(C92,(INT(((YEAR(TODAY())-YEAR(C92))*12+MONTH(TODAY())-MONTH(C92))/L92)+1)*L92))))</f>
        <v/>
      </c>
      <c r="F92" s="38" t="str">
        <f aca="true">IF(OR(E92="",H92="☑"),"",E92-TODAY())</f>
        <v/>
      </c>
      <c r="G92" s="32" t="str">
        <f aca="false">IF(H92="☑","Fatto",IF(E92="","",IF(F92&lt;0,"Scaduta",IF(F92&lt;=7,"Questa settimana",IF(F92&lt;=30,"Entro 30 giorni","Più avanti")))))</f>
        <v/>
      </c>
      <c r="H92" s="40"/>
      <c r="I92" s="34"/>
      <c r="J92" s="34"/>
      <c r="K92" s="34"/>
      <c r="L92" s="32" t="n">
        <f aca="false">IF(D92="Ogni mese",1,IF(D92="Ogni 3 mesi",3,IF(D92="Ogni 6 mesi",6,IF(D92="Ogni anno",12,0))))</f>
        <v>0</v>
      </c>
    </row>
    <row r="93" customFormat="false" ht="19.5" hidden="false" customHeight="true" outlineLevel="0" collapsed="false">
      <c r="A93" s="30"/>
      <c r="B93" s="30"/>
      <c r="C93" s="31"/>
      <c r="D93" s="30"/>
      <c r="E93" s="37" t="str">
        <f aca="true">IF(C93="","",IF(OR(L93=0,C93&gt;=TODAY()),C93,IF(EDATE(C93,INT(((YEAR(TODAY())-YEAR(C93))*12+MONTH(TODAY())-MONTH(C93))/L93)*L93)&gt;=TODAY(),EDATE(C93,INT(((YEAR(TODAY())-YEAR(C93))*12+MONTH(TODAY())-MONTH(C93))/L93)*L93),EDATE(C93,(INT(((YEAR(TODAY())-YEAR(C93))*12+MONTH(TODAY())-MONTH(C93))/L93)+1)*L93))))</f>
        <v/>
      </c>
      <c r="F93" s="38" t="str">
        <f aca="true">IF(OR(E93="",H93="☑"),"",E93-TODAY())</f>
        <v/>
      </c>
      <c r="G93" s="32" t="str">
        <f aca="false">IF(H93="☑","Fatto",IF(E93="","",IF(F93&lt;0,"Scaduta",IF(F93&lt;=7,"Questa settimana",IF(F93&lt;=30,"Entro 30 giorni","Più avanti")))))</f>
        <v/>
      </c>
      <c r="H93" s="39"/>
      <c r="I93" s="30"/>
      <c r="J93" s="30"/>
      <c r="K93" s="30"/>
      <c r="L93" s="32" t="n">
        <f aca="false">IF(D93="Ogni mese",1,IF(D93="Ogni 3 mesi",3,IF(D93="Ogni 6 mesi",6,IF(D93="Ogni anno",12,0))))</f>
        <v>0</v>
      </c>
    </row>
    <row r="94" customFormat="false" ht="19.5" hidden="false" customHeight="true" outlineLevel="0" collapsed="false">
      <c r="A94" s="34"/>
      <c r="B94" s="34"/>
      <c r="C94" s="35"/>
      <c r="D94" s="34"/>
      <c r="E94" s="37" t="str">
        <f aca="true">IF(C94="","",IF(OR(L94=0,C94&gt;=TODAY()),C94,IF(EDATE(C94,INT(((YEAR(TODAY())-YEAR(C94))*12+MONTH(TODAY())-MONTH(C94))/L94)*L94)&gt;=TODAY(),EDATE(C94,INT(((YEAR(TODAY())-YEAR(C94))*12+MONTH(TODAY())-MONTH(C94))/L94)*L94),EDATE(C94,(INT(((YEAR(TODAY())-YEAR(C94))*12+MONTH(TODAY())-MONTH(C94))/L94)+1)*L94))))</f>
        <v/>
      </c>
      <c r="F94" s="38" t="str">
        <f aca="true">IF(OR(E94="",H94="☑"),"",E94-TODAY())</f>
        <v/>
      </c>
      <c r="G94" s="32" t="str">
        <f aca="false">IF(H94="☑","Fatto",IF(E94="","",IF(F94&lt;0,"Scaduta",IF(F94&lt;=7,"Questa settimana",IF(F94&lt;=30,"Entro 30 giorni","Più avanti")))))</f>
        <v/>
      </c>
      <c r="H94" s="40"/>
      <c r="I94" s="34"/>
      <c r="J94" s="34"/>
      <c r="K94" s="34"/>
      <c r="L94" s="32" t="n">
        <f aca="false">IF(D94="Ogni mese",1,IF(D94="Ogni 3 mesi",3,IF(D94="Ogni 6 mesi",6,IF(D94="Ogni anno",12,0))))</f>
        <v>0</v>
      </c>
    </row>
    <row r="95" customFormat="false" ht="19.5" hidden="false" customHeight="true" outlineLevel="0" collapsed="false">
      <c r="A95" s="30"/>
      <c r="B95" s="30"/>
      <c r="C95" s="31"/>
      <c r="D95" s="30"/>
      <c r="E95" s="37" t="str">
        <f aca="true">IF(C95="","",IF(OR(L95=0,C95&gt;=TODAY()),C95,IF(EDATE(C95,INT(((YEAR(TODAY())-YEAR(C95))*12+MONTH(TODAY())-MONTH(C95))/L95)*L95)&gt;=TODAY(),EDATE(C95,INT(((YEAR(TODAY())-YEAR(C95))*12+MONTH(TODAY())-MONTH(C95))/L95)*L95),EDATE(C95,(INT(((YEAR(TODAY())-YEAR(C95))*12+MONTH(TODAY())-MONTH(C95))/L95)+1)*L95))))</f>
        <v/>
      </c>
      <c r="F95" s="38" t="str">
        <f aca="true">IF(OR(E95="",H95="☑"),"",E95-TODAY())</f>
        <v/>
      </c>
      <c r="G95" s="32" t="str">
        <f aca="false">IF(H95="☑","Fatto",IF(E95="","",IF(F95&lt;0,"Scaduta",IF(F95&lt;=7,"Questa settimana",IF(F95&lt;=30,"Entro 30 giorni","Più avanti")))))</f>
        <v/>
      </c>
      <c r="H95" s="39"/>
      <c r="I95" s="30"/>
      <c r="J95" s="30"/>
      <c r="K95" s="30"/>
      <c r="L95" s="32" t="n">
        <f aca="false">IF(D95="Ogni mese",1,IF(D95="Ogni 3 mesi",3,IF(D95="Ogni 6 mesi",6,IF(D95="Ogni anno",12,0))))</f>
        <v>0</v>
      </c>
    </row>
    <row r="96" customFormat="false" ht="19.5" hidden="false" customHeight="true" outlineLevel="0" collapsed="false">
      <c r="A96" s="34"/>
      <c r="B96" s="34"/>
      <c r="C96" s="35"/>
      <c r="D96" s="34"/>
      <c r="E96" s="37" t="str">
        <f aca="true">IF(C96="","",IF(OR(L96=0,C96&gt;=TODAY()),C96,IF(EDATE(C96,INT(((YEAR(TODAY())-YEAR(C96))*12+MONTH(TODAY())-MONTH(C96))/L96)*L96)&gt;=TODAY(),EDATE(C96,INT(((YEAR(TODAY())-YEAR(C96))*12+MONTH(TODAY())-MONTH(C96))/L96)*L96),EDATE(C96,(INT(((YEAR(TODAY())-YEAR(C96))*12+MONTH(TODAY())-MONTH(C96))/L96)+1)*L96))))</f>
        <v/>
      </c>
      <c r="F96" s="38" t="str">
        <f aca="true">IF(OR(E96="",H96="☑"),"",E96-TODAY())</f>
        <v/>
      </c>
      <c r="G96" s="32" t="str">
        <f aca="false">IF(H96="☑","Fatto",IF(E96="","",IF(F96&lt;0,"Scaduta",IF(F96&lt;=7,"Questa settimana",IF(F96&lt;=30,"Entro 30 giorni","Più avanti")))))</f>
        <v/>
      </c>
      <c r="H96" s="40"/>
      <c r="I96" s="34"/>
      <c r="J96" s="34"/>
      <c r="K96" s="34"/>
      <c r="L96" s="32" t="n">
        <f aca="false">IF(D96="Ogni mese",1,IF(D96="Ogni 3 mesi",3,IF(D96="Ogni 6 mesi",6,IF(D96="Ogni anno",12,0))))</f>
        <v>0</v>
      </c>
    </row>
    <row r="97" customFormat="false" ht="19.5" hidden="false" customHeight="true" outlineLevel="0" collapsed="false">
      <c r="A97" s="30"/>
      <c r="B97" s="30"/>
      <c r="C97" s="31"/>
      <c r="D97" s="30"/>
      <c r="E97" s="37" t="str">
        <f aca="true">IF(C97="","",IF(OR(L97=0,C97&gt;=TODAY()),C97,IF(EDATE(C97,INT(((YEAR(TODAY())-YEAR(C97))*12+MONTH(TODAY())-MONTH(C97))/L97)*L97)&gt;=TODAY(),EDATE(C97,INT(((YEAR(TODAY())-YEAR(C97))*12+MONTH(TODAY())-MONTH(C97))/L97)*L97),EDATE(C97,(INT(((YEAR(TODAY())-YEAR(C97))*12+MONTH(TODAY())-MONTH(C97))/L97)+1)*L97))))</f>
        <v/>
      </c>
      <c r="F97" s="38" t="str">
        <f aca="true">IF(OR(E97="",H97="☑"),"",E97-TODAY())</f>
        <v/>
      </c>
      <c r="G97" s="32" t="str">
        <f aca="false">IF(H97="☑","Fatto",IF(E97="","",IF(F97&lt;0,"Scaduta",IF(F97&lt;=7,"Questa settimana",IF(F97&lt;=30,"Entro 30 giorni","Più avanti")))))</f>
        <v/>
      </c>
      <c r="H97" s="39"/>
      <c r="I97" s="30"/>
      <c r="J97" s="30"/>
      <c r="K97" s="30"/>
      <c r="L97" s="32" t="n">
        <f aca="false">IF(D97="Ogni mese",1,IF(D97="Ogni 3 mesi",3,IF(D97="Ogni 6 mesi",6,IF(D97="Ogni anno",12,0))))</f>
        <v>0</v>
      </c>
    </row>
    <row r="98" customFormat="false" ht="19.5" hidden="false" customHeight="true" outlineLevel="0" collapsed="false">
      <c r="A98" s="34"/>
      <c r="B98" s="34"/>
      <c r="C98" s="35"/>
      <c r="D98" s="34"/>
      <c r="E98" s="37" t="str">
        <f aca="true">IF(C98="","",IF(OR(L98=0,C98&gt;=TODAY()),C98,IF(EDATE(C98,INT(((YEAR(TODAY())-YEAR(C98))*12+MONTH(TODAY())-MONTH(C98))/L98)*L98)&gt;=TODAY(),EDATE(C98,INT(((YEAR(TODAY())-YEAR(C98))*12+MONTH(TODAY())-MONTH(C98))/L98)*L98),EDATE(C98,(INT(((YEAR(TODAY())-YEAR(C98))*12+MONTH(TODAY())-MONTH(C98))/L98)+1)*L98))))</f>
        <v/>
      </c>
      <c r="F98" s="38" t="str">
        <f aca="true">IF(OR(E98="",H98="☑"),"",E98-TODAY())</f>
        <v/>
      </c>
      <c r="G98" s="32" t="str">
        <f aca="false">IF(H98="☑","Fatto",IF(E98="","",IF(F98&lt;0,"Scaduta",IF(F98&lt;=7,"Questa settimana",IF(F98&lt;=30,"Entro 30 giorni","Più avanti")))))</f>
        <v/>
      </c>
      <c r="H98" s="40"/>
      <c r="I98" s="34"/>
      <c r="J98" s="34"/>
      <c r="K98" s="34"/>
      <c r="L98" s="32" t="n">
        <f aca="false">IF(D98="Ogni mese",1,IF(D98="Ogni 3 mesi",3,IF(D98="Ogni 6 mesi",6,IF(D98="Ogni anno",12,0))))</f>
        <v>0</v>
      </c>
    </row>
    <row r="99" customFormat="false" ht="19.5" hidden="false" customHeight="true" outlineLevel="0" collapsed="false">
      <c r="A99" s="30"/>
      <c r="B99" s="30"/>
      <c r="C99" s="31"/>
      <c r="D99" s="30"/>
      <c r="E99" s="37" t="str">
        <f aca="true">IF(C99="","",IF(OR(L99=0,C99&gt;=TODAY()),C99,IF(EDATE(C99,INT(((YEAR(TODAY())-YEAR(C99))*12+MONTH(TODAY())-MONTH(C99))/L99)*L99)&gt;=TODAY(),EDATE(C99,INT(((YEAR(TODAY())-YEAR(C99))*12+MONTH(TODAY())-MONTH(C99))/L99)*L99),EDATE(C99,(INT(((YEAR(TODAY())-YEAR(C99))*12+MONTH(TODAY())-MONTH(C99))/L99)+1)*L99))))</f>
        <v/>
      </c>
      <c r="F99" s="38" t="str">
        <f aca="true">IF(OR(E99="",H99="☑"),"",E99-TODAY())</f>
        <v/>
      </c>
      <c r="G99" s="32" t="str">
        <f aca="false">IF(H99="☑","Fatto",IF(E99="","",IF(F99&lt;0,"Scaduta",IF(F99&lt;=7,"Questa settimana",IF(F99&lt;=30,"Entro 30 giorni","Più avanti")))))</f>
        <v/>
      </c>
      <c r="H99" s="39"/>
      <c r="I99" s="30"/>
      <c r="J99" s="30"/>
      <c r="K99" s="30"/>
      <c r="L99" s="32" t="n">
        <f aca="false">IF(D99="Ogni mese",1,IF(D99="Ogni 3 mesi",3,IF(D99="Ogni 6 mesi",6,IF(D99="Ogni anno",12,0))))</f>
        <v>0</v>
      </c>
    </row>
    <row r="100" customFormat="false" ht="19.5" hidden="false" customHeight="true" outlineLevel="0" collapsed="false">
      <c r="A100" s="34"/>
      <c r="B100" s="34"/>
      <c r="C100" s="35"/>
      <c r="D100" s="34"/>
      <c r="E100" s="37" t="str">
        <f aca="true">IF(C100="","",IF(OR(L100=0,C100&gt;=TODAY()),C100,IF(EDATE(C100,INT(((YEAR(TODAY())-YEAR(C100))*12+MONTH(TODAY())-MONTH(C100))/L100)*L100)&gt;=TODAY(),EDATE(C100,INT(((YEAR(TODAY())-YEAR(C100))*12+MONTH(TODAY())-MONTH(C100))/L100)*L100),EDATE(C100,(INT(((YEAR(TODAY())-YEAR(C100))*12+MONTH(TODAY())-MONTH(C100))/L100)+1)*L100))))</f>
        <v/>
      </c>
      <c r="F100" s="38" t="str">
        <f aca="true">IF(OR(E100="",H100="☑"),"",E100-TODAY())</f>
        <v/>
      </c>
      <c r="G100" s="32" t="str">
        <f aca="false">IF(H100="☑","Fatto",IF(E100="","",IF(F100&lt;0,"Scaduta",IF(F100&lt;=7,"Questa settimana",IF(F100&lt;=30,"Entro 30 giorni","Più avanti")))))</f>
        <v/>
      </c>
      <c r="H100" s="40"/>
      <c r="I100" s="34"/>
      <c r="J100" s="34"/>
      <c r="K100" s="34"/>
      <c r="L100" s="32" t="n">
        <f aca="false">IF(D100="Ogni mese",1,IF(D100="Ogni 3 mesi",3,IF(D100="Ogni 6 mesi",6,IF(D100="Ogni anno",12,0))))</f>
        <v>0</v>
      </c>
    </row>
    <row r="101" customFormat="false" ht="19.5" hidden="false" customHeight="true" outlineLevel="0" collapsed="false">
      <c r="A101" s="30"/>
      <c r="B101" s="30"/>
      <c r="C101" s="31"/>
      <c r="D101" s="30"/>
      <c r="E101" s="37" t="str">
        <f aca="true">IF(C101="","",IF(OR(L101=0,C101&gt;=TODAY()),C101,IF(EDATE(C101,INT(((YEAR(TODAY())-YEAR(C101))*12+MONTH(TODAY())-MONTH(C101))/L101)*L101)&gt;=TODAY(),EDATE(C101,INT(((YEAR(TODAY())-YEAR(C101))*12+MONTH(TODAY())-MONTH(C101))/L101)*L101),EDATE(C101,(INT(((YEAR(TODAY())-YEAR(C101))*12+MONTH(TODAY())-MONTH(C101))/L101)+1)*L101))))</f>
        <v/>
      </c>
      <c r="F101" s="38" t="str">
        <f aca="true">IF(OR(E101="",H101="☑"),"",E101-TODAY())</f>
        <v/>
      </c>
      <c r="G101" s="32" t="str">
        <f aca="false">IF(H101="☑","Fatto",IF(E101="","",IF(F101&lt;0,"Scaduta",IF(F101&lt;=7,"Questa settimana",IF(F101&lt;=30,"Entro 30 giorni","Più avanti")))))</f>
        <v/>
      </c>
      <c r="H101" s="39"/>
      <c r="I101" s="30"/>
      <c r="J101" s="30"/>
      <c r="K101" s="30"/>
      <c r="L101" s="32" t="n">
        <f aca="false">IF(D101="Ogni mese",1,IF(D101="Ogni 3 mesi",3,IF(D101="Ogni 6 mesi",6,IF(D101="Ogni anno",12,0))))</f>
        <v>0</v>
      </c>
    </row>
    <row r="102" customFormat="false" ht="19.5" hidden="false" customHeight="true" outlineLevel="0" collapsed="false">
      <c r="A102" s="34"/>
      <c r="B102" s="34"/>
      <c r="C102" s="35"/>
      <c r="D102" s="34"/>
      <c r="E102" s="37" t="str">
        <f aca="true">IF(C102="","",IF(OR(L102=0,C102&gt;=TODAY()),C102,IF(EDATE(C102,INT(((YEAR(TODAY())-YEAR(C102))*12+MONTH(TODAY())-MONTH(C102))/L102)*L102)&gt;=TODAY(),EDATE(C102,INT(((YEAR(TODAY())-YEAR(C102))*12+MONTH(TODAY())-MONTH(C102))/L102)*L102),EDATE(C102,(INT(((YEAR(TODAY())-YEAR(C102))*12+MONTH(TODAY())-MONTH(C102))/L102)+1)*L102))))</f>
        <v/>
      </c>
      <c r="F102" s="38" t="str">
        <f aca="true">IF(OR(E102="",H102="☑"),"",E102-TODAY())</f>
        <v/>
      </c>
      <c r="G102" s="32" t="str">
        <f aca="false">IF(H102="☑","Fatto",IF(E102="","",IF(F102&lt;0,"Scaduta",IF(F102&lt;=7,"Questa settimana",IF(F102&lt;=30,"Entro 30 giorni","Più avanti")))))</f>
        <v/>
      </c>
      <c r="H102" s="40"/>
      <c r="I102" s="34"/>
      <c r="J102" s="34"/>
      <c r="K102" s="34"/>
      <c r="L102" s="32" t="n">
        <f aca="false">IF(D102="Ogni mese",1,IF(D102="Ogni 3 mesi",3,IF(D102="Ogni 6 mesi",6,IF(D102="Ogni anno",12,0))))</f>
        <v>0</v>
      </c>
    </row>
    <row r="103" customFormat="false" ht="19.5" hidden="false" customHeight="true" outlineLevel="0" collapsed="false">
      <c r="A103" s="30"/>
      <c r="B103" s="30"/>
      <c r="C103" s="31"/>
      <c r="D103" s="30"/>
      <c r="E103" s="37" t="str">
        <f aca="true">IF(C103="","",IF(OR(L103=0,C103&gt;=TODAY()),C103,IF(EDATE(C103,INT(((YEAR(TODAY())-YEAR(C103))*12+MONTH(TODAY())-MONTH(C103))/L103)*L103)&gt;=TODAY(),EDATE(C103,INT(((YEAR(TODAY())-YEAR(C103))*12+MONTH(TODAY())-MONTH(C103))/L103)*L103),EDATE(C103,(INT(((YEAR(TODAY())-YEAR(C103))*12+MONTH(TODAY())-MONTH(C103))/L103)+1)*L103))))</f>
        <v/>
      </c>
      <c r="F103" s="38" t="str">
        <f aca="true">IF(OR(E103="",H103="☑"),"",E103-TODAY())</f>
        <v/>
      </c>
      <c r="G103" s="32" t="str">
        <f aca="false">IF(H103="☑","Fatto",IF(E103="","",IF(F103&lt;0,"Scaduta",IF(F103&lt;=7,"Questa settimana",IF(F103&lt;=30,"Entro 30 giorni","Più avanti")))))</f>
        <v/>
      </c>
      <c r="H103" s="39"/>
      <c r="I103" s="30"/>
      <c r="J103" s="30"/>
      <c r="K103" s="30"/>
      <c r="L103" s="32" t="n">
        <f aca="false">IF(D103="Ogni mese",1,IF(D103="Ogni 3 mesi",3,IF(D103="Ogni 6 mesi",6,IF(D103="Ogni anno",12,0))))</f>
        <v>0</v>
      </c>
    </row>
    <row r="104" customFormat="false" ht="19.5" hidden="false" customHeight="true" outlineLevel="0" collapsed="false">
      <c r="A104" s="34"/>
      <c r="B104" s="34"/>
      <c r="C104" s="35"/>
      <c r="D104" s="34"/>
      <c r="E104" s="37" t="str">
        <f aca="true">IF(C104="","",IF(OR(L104=0,C104&gt;=TODAY()),C104,IF(EDATE(C104,INT(((YEAR(TODAY())-YEAR(C104))*12+MONTH(TODAY())-MONTH(C104))/L104)*L104)&gt;=TODAY(),EDATE(C104,INT(((YEAR(TODAY())-YEAR(C104))*12+MONTH(TODAY())-MONTH(C104))/L104)*L104),EDATE(C104,(INT(((YEAR(TODAY())-YEAR(C104))*12+MONTH(TODAY())-MONTH(C104))/L104)+1)*L104))))</f>
        <v/>
      </c>
      <c r="F104" s="38" t="str">
        <f aca="true">IF(OR(E104="",H104="☑"),"",E104-TODAY())</f>
        <v/>
      </c>
      <c r="G104" s="32" t="str">
        <f aca="false">IF(H104="☑","Fatto",IF(E104="","",IF(F104&lt;0,"Scaduta",IF(F104&lt;=7,"Questa settimana",IF(F104&lt;=30,"Entro 30 giorni","Più avanti")))))</f>
        <v/>
      </c>
      <c r="H104" s="40"/>
      <c r="I104" s="34"/>
      <c r="J104" s="34"/>
      <c r="K104" s="34"/>
      <c r="L104" s="32" t="n">
        <f aca="false">IF(D104="Ogni mese",1,IF(D104="Ogni 3 mesi",3,IF(D104="Ogni 6 mesi",6,IF(D104="Ogni anno",12,0))))</f>
        <v>0</v>
      </c>
    </row>
    <row r="105" customFormat="false" ht="19.5" hidden="false" customHeight="true" outlineLevel="0" collapsed="false">
      <c r="A105" s="30"/>
      <c r="B105" s="30"/>
      <c r="C105" s="31"/>
      <c r="D105" s="30"/>
      <c r="E105" s="37" t="str">
        <f aca="true">IF(C105="","",IF(OR(L105=0,C105&gt;=TODAY()),C105,IF(EDATE(C105,INT(((YEAR(TODAY())-YEAR(C105))*12+MONTH(TODAY())-MONTH(C105))/L105)*L105)&gt;=TODAY(),EDATE(C105,INT(((YEAR(TODAY())-YEAR(C105))*12+MONTH(TODAY())-MONTH(C105))/L105)*L105),EDATE(C105,(INT(((YEAR(TODAY())-YEAR(C105))*12+MONTH(TODAY())-MONTH(C105))/L105)+1)*L105))))</f>
        <v/>
      </c>
      <c r="F105" s="38" t="str">
        <f aca="true">IF(OR(E105="",H105="☑"),"",E105-TODAY())</f>
        <v/>
      </c>
      <c r="G105" s="32" t="str">
        <f aca="false">IF(H105="☑","Fatto",IF(E105="","",IF(F105&lt;0,"Scaduta",IF(F105&lt;=7,"Questa settimana",IF(F105&lt;=30,"Entro 30 giorni","Più avanti")))))</f>
        <v/>
      </c>
      <c r="H105" s="39"/>
      <c r="I105" s="30"/>
      <c r="J105" s="30"/>
      <c r="K105" s="30"/>
      <c r="L105" s="32" t="n">
        <f aca="false">IF(D105="Ogni mese",1,IF(D105="Ogni 3 mesi",3,IF(D105="Ogni 6 mesi",6,IF(D105="Ogni anno",12,0))))</f>
        <v>0</v>
      </c>
    </row>
    <row r="106" customFormat="false" ht="19.5" hidden="false" customHeight="true" outlineLevel="0" collapsed="false">
      <c r="A106" s="34"/>
      <c r="B106" s="34"/>
      <c r="C106" s="35"/>
      <c r="D106" s="34"/>
      <c r="E106" s="37" t="str">
        <f aca="true">IF(C106="","",IF(OR(L106=0,C106&gt;=TODAY()),C106,IF(EDATE(C106,INT(((YEAR(TODAY())-YEAR(C106))*12+MONTH(TODAY())-MONTH(C106))/L106)*L106)&gt;=TODAY(),EDATE(C106,INT(((YEAR(TODAY())-YEAR(C106))*12+MONTH(TODAY())-MONTH(C106))/L106)*L106),EDATE(C106,(INT(((YEAR(TODAY())-YEAR(C106))*12+MONTH(TODAY())-MONTH(C106))/L106)+1)*L106))))</f>
        <v/>
      </c>
      <c r="F106" s="38" t="str">
        <f aca="true">IF(OR(E106="",H106="☑"),"",E106-TODAY())</f>
        <v/>
      </c>
      <c r="G106" s="32" t="str">
        <f aca="false">IF(H106="☑","Fatto",IF(E106="","",IF(F106&lt;0,"Scaduta",IF(F106&lt;=7,"Questa settimana",IF(F106&lt;=30,"Entro 30 giorni","Più avanti")))))</f>
        <v/>
      </c>
      <c r="H106" s="40"/>
      <c r="I106" s="34"/>
      <c r="J106" s="34"/>
      <c r="K106" s="34"/>
      <c r="L106" s="32" t="n">
        <f aca="false">IF(D106="Ogni mese",1,IF(D106="Ogni 3 mesi",3,IF(D106="Ogni 6 mesi",6,IF(D106="Ogni anno",12,0))))</f>
        <v>0</v>
      </c>
    </row>
    <row r="107" customFormat="false" ht="19.5" hidden="false" customHeight="true" outlineLevel="0" collapsed="false">
      <c r="A107" s="30"/>
      <c r="B107" s="30"/>
      <c r="C107" s="31"/>
      <c r="D107" s="30"/>
      <c r="E107" s="37" t="str">
        <f aca="true">IF(C107="","",IF(OR(L107=0,C107&gt;=TODAY()),C107,IF(EDATE(C107,INT(((YEAR(TODAY())-YEAR(C107))*12+MONTH(TODAY())-MONTH(C107))/L107)*L107)&gt;=TODAY(),EDATE(C107,INT(((YEAR(TODAY())-YEAR(C107))*12+MONTH(TODAY())-MONTH(C107))/L107)*L107),EDATE(C107,(INT(((YEAR(TODAY())-YEAR(C107))*12+MONTH(TODAY())-MONTH(C107))/L107)+1)*L107))))</f>
        <v/>
      </c>
      <c r="F107" s="38" t="str">
        <f aca="true">IF(OR(E107="",H107="☑"),"",E107-TODAY())</f>
        <v/>
      </c>
      <c r="G107" s="32" t="str">
        <f aca="false">IF(H107="☑","Fatto",IF(E107="","",IF(F107&lt;0,"Scaduta",IF(F107&lt;=7,"Questa settimana",IF(F107&lt;=30,"Entro 30 giorni","Più avanti")))))</f>
        <v/>
      </c>
      <c r="H107" s="39"/>
      <c r="I107" s="30"/>
      <c r="J107" s="30"/>
      <c r="K107" s="30"/>
      <c r="L107" s="32" t="n">
        <f aca="false">IF(D107="Ogni mese",1,IF(D107="Ogni 3 mesi",3,IF(D107="Ogni 6 mesi",6,IF(D107="Ogni anno",12,0))))</f>
        <v>0</v>
      </c>
    </row>
    <row r="108" customFormat="false" ht="19.5" hidden="false" customHeight="true" outlineLevel="0" collapsed="false">
      <c r="A108" s="34"/>
      <c r="B108" s="34"/>
      <c r="C108" s="35"/>
      <c r="D108" s="34"/>
      <c r="E108" s="37" t="str">
        <f aca="true">IF(C108="","",IF(OR(L108=0,C108&gt;=TODAY()),C108,IF(EDATE(C108,INT(((YEAR(TODAY())-YEAR(C108))*12+MONTH(TODAY())-MONTH(C108))/L108)*L108)&gt;=TODAY(),EDATE(C108,INT(((YEAR(TODAY())-YEAR(C108))*12+MONTH(TODAY())-MONTH(C108))/L108)*L108),EDATE(C108,(INT(((YEAR(TODAY())-YEAR(C108))*12+MONTH(TODAY())-MONTH(C108))/L108)+1)*L108))))</f>
        <v/>
      </c>
      <c r="F108" s="38" t="str">
        <f aca="true">IF(OR(E108="",H108="☑"),"",E108-TODAY())</f>
        <v/>
      </c>
      <c r="G108" s="32" t="str">
        <f aca="false">IF(H108="☑","Fatto",IF(E108="","",IF(F108&lt;0,"Scaduta",IF(F108&lt;=7,"Questa settimana",IF(F108&lt;=30,"Entro 30 giorni","Più avanti")))))</f>
        <v/>
      </c>
      <c r="H108" s="40"/>
      <c r="I108" s="34"/>
      <c r="J108" s="34"/>
      <c r="K108" s="34"/>
      <c r="L108" s="32" t="n">
        <f aca="false">IF(D108="Ogni mese",1,IF(D108="Ogni 3 mesi",3,IF(D108="Ogni 6 mesi",6,IF(D108="Ogni anno",12,0))))</f>
        <v>0</v>
      </c>
    </row>
    <row r="109" customFormat="false" ht="19.5" hidden="false" customHeight="true" outlineLevel="0" collapsed="false">
      <c r="A109" s="30"/>
      <c r="B109" s="30"/>
      <c r="C109" s="31"/>
      <c r="D109" s="30"/>
      <c r="E109" s="37" t="str">
        <f aca="true">IF(C109="","",IF(OR(L109=0,C109&gt;=TODAY()),C109,IF(EDATE(C109,INT(((YEAR(TODAY())-YEAR(C109))*12+MONTH(TODAY())-MONTH(C109))/L109)*L109)&gt;=TODAY(),EDATE(C109,INT(((YEAR(TODAY())-YEAR(C109))*12+MONTH(TODAY())-MONTH(C109))/L109)*L109),EDATE(C109,(INT(((YEAR(TODAY())-YEAR(C109))*12+MONTH(TODAY())-MONTH(C109))/L109)+1)*L109))))</f>
        <v/>
      </c>
      <c r="F109" s="38" t="str">
        <f aca="true">IF(OR(E109="",H109="☑"),"",E109-TODAY())</f>
        <v/>
      </c>
      <c r="G109" s="32" t="str">
        <f aca="false">IF(H109="☑","Fatto",IF(E109="","",IF(F109&lt;0,"Scaduta",IF(F109&lt;=7,"Questa settimana",IF(F109&lt;=30,"Entro 30 giorni","Più avanti")))))</f>
        <v/>
      </c>
      <c r="H109" s="39"/>
      <c r="I109" s="30"/>
      <c r="J109" s="30"/>
      <c r="K109" s="30"/>
      <c r="L109" s="32" t="n">
        <f aca="false">IF(D109="Ogni mese",1,IF(D109="Ogni 3 mesi",3,IF(D109="Ogni 6 mesi",6,IF(D109="Ogni anno",12,0))))</f>
        <v>0</v>
      </c>
    </row>
    <row r="110" customFormat="false" ht="19.5" hidden="false" customHeight="true" outlineLevel="0" collapsed="false">
      <c r="A110" s="34"/>
      <c r="B110" s="34"/>
      <c r="C110" s="35"/>
      <c r="D110" s="34"/>
      <c r="E110" s="37" t="str">
        <f aca="true">IF(C110="","",IF(OR(L110=0,C110&gt;=TODAY()),C110,IF(EDATE(C110,INT(((YEAR(TODAY())-YEAR(C110))*12+MONTH(TODAY())-MONTH(C110))/L110)*L110)&gt;=TODAY(),EDATE(C110,INT(((YEAR(TODAY())-YEAR(C110))*12+MONTH(TODAY())-MONTH(C110))/L110)*L110),EDATE(C110,(INT(((YEAR(TODAY())-YEAR(C110))*12+MONTH(TODAY())-MONTH(C110))/L110)+1)*L110))))</f>
        <v/>
      </c>
      <c r="F110" s="38" t="str">
        <f aca="true">IF(OR(E110="",H110="☑"),"",E110-TODAY())</f>
        <v/>
      </c>
      <c r="G110" s="32" t="str">
        <f aca="false">IF(H110="☑","Fatto",IF(E110="","",IF(F110&lt;0,"Scaduta",IF(F110&lt;=7,"Questa settimana",IF(F110&lt;=30,"Entro 30 giorni","Più avanti")))))</f>
        <v/>
      </c>
      <c r="H110" s="40"/>
      <c r="I110" s="34"/>
      <c r="J110" s="34"/>
      <c r="K110" s="34"/>
      <c r="L110" s="32" t="n">
        <f aca="false">IF(D110="Ogni mese",1,IF(D110="Ogni 3 mesi",3,IF(D110="Ogni 6 mesi",6,IF(D110="Ogni anno",12,0))))</f>
        <v>0</v>
      </c>
    </row>
    <row r="111" customFormat="false" ht="19.5" hidden="false" customHeight="true" outlineLevel="0" collapsed="false">
      <c r="A111" s="30"/>
      <c r="B111" s="30"/>
      <c r="C111" s="31"/>
      <c r="D111" s="30"/>
      <c r="E111" s="37" t="str">
        <f aca="true">IF(C111="","",IF(OR(L111=0,C111&gt;=TODAY()),C111,IF(EDATE(C111,INT(((YEAR(TODAY())-YEAR(C111))*12+MONTH(TODAY())-MONTH(C111))/L111)*L111)&gt;=TODAY(),EDATE(C111,INT(((YEAR(TODAY())-YEAR(C111))*12+MONTH(TODAY())-MONTH(C111))/L111)*L111),EDATE(C111,(INT(((YEAR(TODAY())-YEAR(C111))*12+MONTH(TODAY())-MONTH(C111))/L111)+1)*L111))))</f>
        <v/>
      </c>
      <c r="F111" s="38" t="str">
        <f aca="true">IF(OR(E111="",H111="☑"),"",E111-TODAY())</f>
        <v/>
      </c>
      <c r="G111" s="32" t="str">
        <f aca="false">IF(H111="☑","Fatto",IF(E111="","",IF(F111&lt;0,"Scaduta",IF(F111&lt;=7,"Questa settimana",IF(F111&lt;=30,"Entro 30 giorni","Più avanti")))))</f>
        <v/>
      </c>
      <c r="H111" s="39"/>
      <c r="I111" s="30"/>
      <c r="J111" s="30"/>
      <c r="K111" s="30"/>
      <c r="L111" s="32" t="n">
        <f aca="false">IF(D111="Ogni mese",1,IF(D111="Ogni 3 mesi",3,IF(D111="Ogni 6 mesi",6,IF(D111="Ogni anno",12,0))))</f>
        <v>0</v>
      </c>
    </row>
    <row r="112" customFormat="false" ht="19.5" hidden="false" customHeight="true" outlineLevel="0" collapsed="false">
      <c r="A112" s="34"/>
      <c r="B112" s="34"/>
      <c r="C112" s="35"/>
      <c r="D112" s="34"/>
      <c r="E112" s="37" t="str">
        <f aca="true">IF(C112="","",IF(OR(L112=0,C112&gt;=TODAY()),C112,IF(EDATE(C112,INT(((YEAR(TODAY())-YEAR(C112))*12+MONTH(TODAY())-MONTH(C112))/L112)*L112)&gt;=TODAY(),EDATE(C112,INT(((YEAR(TODAY())-YEAR(C112))*12+MONTH(TODAY())-MONTH(C112))/L112)*L112),EDATE(C112,(INT(((YEAR(TODAY())-YEAR(C112))*12+MONTH(TODAY())-MONTH(C112))/L112)+1)*L112))))</f>
        <v/>
      </c>
      <c r="F112" s="38" t="str">
        <f aca="true">IF(OR(E112="",H112="☑"),"",E112-TODAY())</f>
        <v/>
      </c>
      <c r="G112" s="32" t="str">
        <f aca="false">IF(H112="☑","Fatto",IF(E112="","",IF(F112&lt;0,"Scaduta",IF(F112&lt;=7,"Questa settimana",IF(F112&lt;=30,"Entro 30 giorni","Più avanti")))))</f>
        <v/>
      </c>
      <c r="H112" s="40"/>
      <c r="I112" s="34"/>
      <c r="J112" s="34"/>
      <c r="K112" s="34"/>
      <c r="L112" s="32" t="n">
        <f aca="false">IF(D112="Ogni mese",1,IF(D112="Ogni 3 mesi",3,IF(D112="Ogni 6 mesi",6,IF(D112="Ogni anno",12,0))))</f>
        <v>0</v>
      </c>
    </row>
    <row r="113" customFormat="false" ht="19.5" hidden="false" customHeight="true" outlineLevel="0" collapsed="false">
      <c r="A113" s="30"/>
      <c r="B113" s="30"/>
      <c r="C113" s="31"/>
      <c r="D113" s="30"/>
      <c r="E113" s="37" t="str">
        <f aca="true">IF(C113="","",IF(OR(L113=0,C113&gt;=TODAY()),C113,IF(EDATE(C113,INT(((YEAR(TODAY())-YEAR(C113))*12+MONTH(TODAY())-MONTH(C113))/L113)*L113)&gt;=TODAY(),EDATE(C113,INT(((YEAR(TODAY())-YEAR(C113))*12+MONTH(TODAY())-MONTH(C113))/L113)*L113),EDATE(C113,(INT(((YEAR(TODAY())-YEAR(C113))*12+MONTH(TODAY())-MONTH(C113))/L113)+1)*L113))))</f>
        <v/>
      </c>
      <c r="F113" s="38" t="str">
        <f aca="true">IF(OR(E113="",H113="☑"),"",E113-TODAY())</f>
        <v/>
      </c>
      <c r="G113" s="32" t="str">
        <f aca="false">IF(H113="☑","Fatto",IF(E113="","",IF(F113&lt;0,"Scaduta",IF(F113&lt;=7,"Questa settimana",IF(F113&lt;=30,"Entro 30 giorni","Più avanti")))))</f>
        <v/>
      </c>
      <c r="H113" s="39"/>
      <c r="I113" s="30"/>
      <c r="J113" s="30"/>
      <c r="K113" s="30"/>
      <c r="L113" s="32" t="n">
        <f aca="false">IF(D113="Ogni mese",1,IF(D113="Ogni 3 mesi",3,IF(D113="Ogni 6 mesi",6,IF(D113="Ogni anno",12,0))))</f>
        <v>0</v>
      </c>
    </row>
    <row r="114" customFormat="false" ht="19.5" hidden="false" customHeight="true" outlineLevel="0" collapsed="false">
      <c r="A114" s="34"/>
      <c r="B114" s="34"/>
      <c r="C114" s="35"/>
      <c r="D114" s="34"/>
      <c r="E114" s="37" t="str">
        <f aca="true">IF(C114="","",IF(OR(L114=0,C114&gt;=TODAY()),C114,IF(EDATE(C114,INT(((YEAR(TODAY())-YEAR(C114))*12+MONTH(TODAY())-MONTH(C114))/L114)*L114)&gt;=TODAY(),EDATE(C114,INT(((YEAR(TODAY())-YEAR(C114))*12+MONTH(TODAY())-MONTH(C114))/L114)*L114),EDATE(C114,(INT(((YEAR(TODAY())-YEAR(C114))*12+MONTH(TODAY())-MONTH(C114))/L114)+1)*L114))))</f>
        <v/>
      </c>
      <c r="F114" s="38" t="str">
        <f aca="true">IF(OR(E114="",H114="☑"),"",E114-TODAY())</f>
        <v/>
      </c>
      <c r="G114" s="32" t="str">
        <f aca="false">IF(H114="☑","Fatto",IF(E114="","",IF(F114&lt;0,"Scaduta",IF(F114&lt;=7,"Questa settimana",IF(F114&lt;=30,"Entro 30 giorni","Più avanti")))))</f>
        <v/>
      </c>
      <c r="H114" s="40"/>
      <c r="I114" s="34"/>
      <c r="J114" s="34"/>
      <c r="K114" s="34"/>
      <c r="L114" s="32" t="n">
        <f aca="false">IF(D114="Ogni mese",1,IF(D114="Ogni 3 mesi",3,IF(D114="Ogni 6 mesi",6,IF(D114="Ogni anno",12,0))))</f>
        <v>0</v>
      </c>
    </row>
    <row r="115" customFormat="false" ht="19.5" hidden="false" customHeight="true" outlineLevel="0" collapsed="false">
      <c r="A115" s="30"/>
      <c r="B115" s="30"/>
      <c r="C115" s="31"/>
      <c r="D115" s="30"/>
      <c r="E115" s="37" t="str">
        <f aca="true">IF(C115="","",IF(OR(L115=0,C115&gt;=TODAY()),C115,IF(EDATE(C115,INT(((YEAR(TODAY())-YEAR(C115))*12+MONTH(TODAY())-MONTH(C115))/L115)*L115)&gt;=TODAY(),EDATE(C115,INT(((YEAR(TODAY())-YEAR(C115))*12+MONTH(TODAY())-MONTH(C115))/L115)*L115),EDATE(C115,(INT(((YEAR(TODAY())-YEAR(C115))*12+MONTH(TODAY())-MONTH(C115))/L115)+1)*L115))))</f>
        <v/>
      </c>
      <c r="F115" s="38" t="str">
        <f aca="true">IF(OR(E115="",H115="☑"),"",E115-TODAY())</f>
        <v/>
      </c>
      <c r="G115" s="32" t="str">
        <f aca="false">IF(H115="☑","Fatto",IF(E115="","",IF(F115&lt;0,"Scaduta",IF(F115&lt;=7,"Questa settimana",IF(F115&lt;=30,"Entro 30 giorni","Più avanti")))))</f>
        <v/>
      </c>
      <c r="H115" s="39"/>
      <c r="I115" s="30"/>
      <c r="J115" s="30"/>
      <c r="K115" s="30"/>
      <c r="L115" s="32" t="n">
        <f aca="false">IF(D115="Ogni mese",1,IF(D115="Ogni 3 mesi",3,IF(D115="Ogni 6 mesi",6,IF(D115="Ogni anno",12,0))))</f>
        <v>0</v>
      </c>
    </row>
    <row r="116" customFormat="false" ht="19.5" hidden="false" customHeight="true" outlineLevel="0" collapsed="false">
      <c r="A116" s="34"/>
      <c r="B116" s="34"/>
      <c r="C116" s="35"/>
      <c r="D116" s="34"/>
      <c r="E116" s="37" t="str">
        <f aca="true">IF(C116="","",IF(OR(L116=0,C116&gt;=TODAY()),C116,IF(EDATE(C116,INT(((YEAR(TODAY())-YEAR(C116))*12+MONTH(TODAY())-MONTH(C116))/L116)*L116)&gt;=TODAY(),EDATE(C116,INT(((YEAR(TODAY())-YEAR(C116))*12+MONTH(TODAY())-MONTH(C116))/L116)*L116),EDATE(C116,(INT(((YEAR(TODAY())-YEAR(C116))*12+MONTH(TODAY())-MONTH(C116))/L116)+1)*L116))))</f>
        <v/>
      </c>
      <c r="F116" s="38" t="str">
        <f aca="true">IF(OR(E116="",H116="☑"),"",E116-TODAY())</f>
        <v/>
      </c>
      <c r="G116" s="32" t="str">
        <f aca="false">IF(H116="☑","Fatto",IF(E116="","",IF(F116&lt;0,"Scaduta",IF(F116&lt;=7,"Questa settimana",IF(F116&lt;=30,"Entro 30 giorni","Più avanti")))))</f>
        <v/>
      </c>
      <c r="H116" s="40"/>
      <c r="I116" s="34"/>
      <c r="J116" s="34"/>
      <c r="K116" s="34"/>
      <c r="L116" s="32" t="n">
        <f aca="false">IF(D116="Ogni mese",1,IF(D116="Ogni 3 mesi",3,IF(D116="Ogni 6 mesi",6,IF(D116="Ogni anno",12,0))))</f>
        <v>0</v>
      </c>
    </row>
    <row r="117" customFormat="false" ht="19.5" hidden="false" customHeight="true" outlineLevel="0" collapsed="false">
      <c r="A117" s="30"/>
      <c r="B117" s="30"/>
      <c r="C117" s="31"/>
      <c r="D117" s="30"/>
      <c r="E117" s="37" t="str">
        <f aca="true">IF(C117="","",IF(OR(L117=0,C117&gt;=TODAY()),C117,IF(EDATE(C117,INT(((YEAR(TODAY())-YEAR(C117))*12+MONTH(TODAY())-MONTH(C117))/L117)*L117)&gt;=TODAY(),EDATE(C117,INT(((YEAR(TODAY())-YEAR(C117))*12+MONTH(TODAY())-MONTH(C117))/L117)*L117),EDATE(C117,(INT(((YEAR(TODAY())-YEAR(C117))*12+MONTH(TODAY())-MONTH(C117))/L117)+1)*L117))))</f>
        <v/>
      </c>
      <c r="F117" s="38" t="str">
        <f aca="true">IF(OR(E117="",H117="☑"),"",E117-TODAY())</f>
        <v/>
      </c>
      <c r="G117" s="32" t="str">
        <f aca="false">IF(H117="☑","Fatto",IF(E117="","",IF(F117&lt;0,"Scaduta",IF(F117&lt;=7,"Questa settimana",IF(F117&lt;=30,"Entro 30 giorni","Più avanti")))))</f>
        <v/>
      </c>
      <c r="H117" s="39"/>
      <c r="I117" s="30"/>
      <c r="J117" s="30"/>
      <c r="K117" s="30"/>
      <c r="L117" s="32" t="n">
        <f aca="false">IF(D117="Ogni mese",1,IF(D117="Ogni 3 mesi",3,IF(D117="Ogni 6 mesi",6,IF(D117="Ogni anno",12,0))))</f>
        <v>0</v>
      </c>
    </row>
    <row r="118" customFormat="false" ht="19.5" hidden="false" customHeight="true" outlineLevel="0" collapsed="false">
      <c r="A118" s="34"/>
      <c r="B118" s="34"/>
      <c r="C118" s="35"/>
      <c r="D118" s="34"/>
      <c r="E118" s="37" t="str">
        <f aca="true">IF(C118="","",IF(OR(L118=0,C118&gt;=TODAY()),C118,IF(EDATE(C118,INT(((YEAR(TODAY())-YEAR(C118))*12+MONTH(TODAY())-MONTH(C118))/L118)*L118)&gt;=TODAY(),EDATE(C118,INT(((YEAR(TODAY())-YEAR(C118))*12+MONTH(TODAY())-MONTH(C118))/L118)*L118),EDATE(C118,(INT(((YEAR(TODAY())-YEAR(C118))*12+MONTH(TODAY())-MONTH(C118))/L118)+1)*L118))))</f>
        <v/>
      </c>
      <c r="F118" s="38" t="str">
        <f aca="true">IF(OR(E118="",H118="☑"),"",E118-TODAY())</f>
        <v/>
      </c>
      <c r="G118" s="32" t="str">
        <f aca="false">IF(H118="☑","Fatto",IF(E118="","",IF(F118&lt;0,"Scaduta",IF(F118&lt;=7,"Questa settimana",IF(F118&lt;=30,"Entro 30 giorni","Più avanti")))))</f>
        <v/>
      </c>
      <c r="H118" s="40"/>
      <c r="I118" s="34"/>
      <c r="J118" s="34"/>
      <c r="K118" s="34"/>
      <c r="L118" s="32" t="n">
        <f aca="false">IF(D118="Ogni mese",1,IF(D118="Ogni 3 mesi",3,IF(D118="Ogni 6 mesi",6,IF(D118="Ogni anno",12,0))))</f>
        <v>0</v>
      </c>
    </row>
    <row r="119" customFormat="false" ht="19.5" hidden="false" customHeight="true" outlineLevel="0" collapsed="false">
      <c r="A119" s="30"/>
      <c r="B119" s="30"/>
      <c r="C119" s="31"/>
      <c r="D119" s="30"/>
      <c r="E119" s="37" t="str">
        <f aca="true">IF(C119="","",IF(OR(L119=0,C119&gt;=TODAY()),C119,IF(EDATE(C119,INT(((YEAR(TODAY())-YEAR(C119))*12+MONTH(TODAY())-MONTH(C119))/L119)*L119)&gt;=TODAY(),EDATE(C119,INT(((YEAR(TODAY())-YEAR(C119))*12+MONTH(TODAY())-MONTH(C119))/L119)*L119),EDATE(C119,(INT(((YEAR(TODAY())-YEAR(C119))*12+MONTH(TODAY())-MONTH(C119))/L119)+1)*L119))))</f>
        <v/>
      </c>
      <c r="F119" s="38" t="str">
        <f aca="true">IF(OR(E119="",H119="☑"),"",E119-TODAY())</f>
        <v/>
      </c>
      <c r="G119" s="32" t="str">
        <f aca="false">IF(H119="☑","Fatto",IF(E119="","",IF(F119&lt;0,"Scaduta",IF(F119&lt;=7,"Questa settimana",IF(F119&lt;=30,"Entro 30 giorni","Più avanti")))))</f>
        <v/>
      </c>
      <c r="H119" s="39"/>
      <c r="I119" s="30"/>
      <c r="J119" s="30"/>
      <c r="K119" s="30"/>
      <c r="L119" s="32" t="n">
        <f aca="false">IF(D119="Ogni mese",1,IF(D119="Ogni 3 mesi",3,IF(D119="Ogni 6 mesi",6,IF(D119="Ogni anno",12,0))))</f>
        <v>0</v>
      </c>
    </row>
    <row r="120" customFormat="false" ht="19.5" hidden="false" customHeight="true" outlineLevel="0" collapsed="false">
      <c r="A120" s="34"/>
      <c r="B120" s="34"/>
      <c r="C120" s="35"/>
      <c r="D120" s="34"/>
      <c r="E120" s="37" t="str">
        <f aca="true">IF(C120="","",IF(OR(L120=0,C120&gt;=TODAY()),C120,IF(EDATE(C120,INT(((YEAR(TODAY())-YEAR(C120))*12+MONTH(TODAY())-MONTH(C120))/L120)*L120)&gt;=TODAY(),EDATE(C120,INT(((YEAR(TODAY())-YEAR(C120))*12+MONTH(TODAY())-MONTH(C120))/L120)*L120),EDATE(C120,(INT(((YEAR(TODAY())-YEAR(C120))*12+MONTH(TODAY())-MONTH(C120))/L120)+1)*L120))))</f>
        <v/>
      </c>
      <c r="F120" s="38" t="str">
        <f aca="true">IF(OR(E120="",H120="☑"),"",E120-TODAY())</f>
        <v/>
      </c>
      <c r="G120" s="32" t="str">
        <f aca="false">IF(H120="☑","Fatto",IF(E120="","",IF(F120&lt;0,"Scaduta",IF(F120&lt;=7,"Questa settimana",IF(F120&lt;=30,"Entro 30 giorni","Più avanti")))))</f>
        <v/>
      </c>
      <c r="H120" s="40"/>
      <c r="I120" s="34"/>
      <c r="J120" s="34"/>
      <c r="K120" s="34"/>
      <c r="L120" s="32" t="n">
        <f aca="false">IF(D120="Ogni mese",1,IF(D120="Ogni 3 mesi",3,IF(D120="Ogni 6 mesi",6,IF(D120="Ogni anno",12,0))))</f>
        <v>0</v>
      </c>
    </row>
    <row r="121" customFormat="false" ht="19.5" hidden="false" customHeight="true" outlineLevel="0" collapsed="false">
      <c r="A121" s="30"/>
      <c r="B121" s="30"/>
      <c r="C121" s="31"/>
      <c r="D121" s="30"/>
      <c r="E121" s="37" t="str">
        <f aca="true">IF(C121="","",IF(OR(L121=0,C121&gt;=TODAY()),C121,IF(EDATE(C121,INT(((YEAR(TODAY())-YEAR(C121))*12+MONTH(TODAY())-MONTH(C121))/L121)*L121)&gt;=TODAY(),EDATE(C121,INT(((YEAR(TODAY())-YEAR(C121))*12+MONTH(TODAY())-MONTH(C121))/L121)*L121),EDATE(C121,(INT(((YEAR(TODAY())-YEAR(C121))*12+MONTH(TODAY())-MONTH(C121))/L121)+1)*L121))))</f>
        <v/>
      </c>
      <c r="F121" s="38" t="str">
        <f aca="true">IF(OR(E121="",H121="☑"),"",E121-TODAY())</f>
        <v/>
      </c>
      <c r="G121" s="32" t="str">
        <f aca="false">IF(H121="☑","Fatto",IF(E121="","",IF(F121&lt;0,"Scaduta",IF(F121&lt;=7,"Questa settimana",IF(F121&lt;=30,"Entro 30 giorni","Più avanti")))))</f>
        <v/>
      </c>
      <c r="H121" s="39"/>
      <c r="I121" s="30"/>
      <c r="J121" s="30"/>
      <c r="K121" s="30"/>
      <c r="L121" s="32" t="n">
        <f aca="false">IF(D121="Ogni mese",1,IF(D121="Ogni 3 mesi",3,IF(D121="Ogni 6 mesi",6,IF(D121="Ogni anno",12,0))))</f>
        <v>0</v>
      </c>
    </row>
    <row r="122" customFormat="false" ht="19.5" hidden="false" customHeight="true" outlineLevel="0" collapsed="false">
      <c r="A122" s="34"/>
      <c r="B122" s="34"/>
      <c r="C122" s="35"/>
      <c r="D122" s="34"/>
      <c r="E122" s="37" t="str">
        <f aca="true">IF(C122="","",IF(OR(L122=0,C122&gt;=TODAY()),C122,IF(EDATE(C122,INT(((YEAR(TODAY())-YEAR(C122))*12+MONTH(TODAY())-MONTH(C122))/L122)*L122)&gt;=TODAY(),EDATE(C122,INT(((YEAR(TODAY())-YEAR(C122))*12+MONTH(TODAY())-MONTH(C122))/L122)*L122),EDATE(C122,(INT(((YEAR(TODAY())-YEAR(C122))*12+MONTH(TODAY())-MONTH(C122))/L122)+1)*L122))))</f>
        <v/>
      </c>
      <c r="F122" s="38" t="str">
        <f aca="true">IF(OR(E122="",H122="☑"),"",E122-TODAY())</f>
        <v/>
      </c>
      <c r="G122" s="32" t="str">
        <f aca="false">IF(H122="☑","Fatto",IF(E122="","",IF(F122&lt;0,"Scaduta",IF(F122&lt;=7,"Questa settimana",IF(F122&lt;=30,"Entro 30 giorni","Più avanti")))))</f>
        <v/>
      </c>
      <c r="H122" s="40"/>
      <c r="I122" s="34"/>
      <c r="J122" s="34"/>
      <c r="K122" s="34"/>
      <c r="L122" s="32" t="n">
        <f aca="false">IF(D122="Ogni mese",1,IF(D122="Ogni 3 mesi",3,IF(D122="Ogni 6 mesi",6,IF(D122="Ogni anno",12,0))))</f>
        <v>0</v>
      </c>
    </row>
    <row r="123" customFormat="false" ht="19.5" hidden="false" customHeight="true" outlineLevel="0" collapsed="false">
      <c r="A123" s="30"/>
      <c r="B123" s="30"/>
      <c r="C123" s="31"/>
      <c r="D123" s="30"/>
      <c r="E123" s="37" t="str">
        <f aca="true">IF(C123="","",IF(OR(L123=0,C123&gt;=TODAY()),C123,IF(EDATE(C123,INT(((YEAR(TODAY())-YEAR(C123))*12+MONTH(TODAY())-MONTH(C123))/L123)*L123)&gt;=TODAY(),EDATE(C123,INT(((YEAR(TODAY())-YEAR(C123))*12+MONTH(TODAY())-MONTH(C123))/L123)*L123),EDATE(C123,(INT(((YEAR(TODAY())-YEAR(C123))*12+MONTH(TODAY())-MONTH(C123))/L123)+1)*L123))))</f>
        <v/>
      </c>
      <c r="F123" s="38" t="str">
        <f aca="true">IF(OR(E123="",H123="☑"),"",E123-TODAY())</f>
        <v/>
      </c>
      <c r="G123" s="32" t="str">
        <f aca="false">IF(H123="☑","Fatto",IF(E123="","",IF(F123&lt;0,"Scaduta",IF(F123&lt;=7,"Questa settimana",IF(F123&lt;=30,"Entro 30 giorni","Più avanti")))))</f>
        <v/>
      </c>
      <c r="H123" s="39"/>
      <c r="I123" s="30"/>
      <c r="J123" s="30"/>
      <c r="K123" s="30"/>
      <c r="L123" s="32" t="n">
        <f aca="false">IF(D123="Ogni mese",1,IF(D123="Ogni 3 mesi",3,IF(D123="Ogni 6 mesi",6,IF(D123="Ogni anno",12,0))))</f>
        <v>0</v>
      </c>
    </row>
    <row r="124" customFormat="false" ht="19.5" hidden="false" customHeight="true" outlineLevel="0" collapsed="false">
      <c r="A124" s="34"/>
      <c r="B124" s="34"/>
      <c r="C124" s="35"/>
      <c r="D124" s="34"/>
      <c r="E124" s="37" t="str">
        <f aca="true">IF(C124="","",IF(OR(L124=0,C124&gt;=TODAY()),C124,IF(EDATE(C124,INT(((YEAR(TODAY())-YEAR(C124))*12+MONTH(TODAY())-MONTH(C124))/L124)*L124)&gt;=TODAY(),EDATE(C124,INT(((YEAR(TODAY())-YEAR(C124))*12+MONTH(TODAY())-MONTH(C124))/L124)*L124),EDATE(C124,(INT(((YEAR(TODAY())-YEAR(C124))*12+MONTH(TODAY())-MONTH(C124))/L124)+1)*L124))))</f>
        <v/>
      </c>
      <c r="F124" s="38" t="str">
        <f aca="true">IF(OR(E124="",H124="☑"),"",E124-TODAY())</f>
        <v/>
      </c>
      <c r="G124" s="32" t="str">
        <f aca="false">IF(H124="☑","Fatto",IF(E124="","",IF(F124&lt;0,"Scaduta",IF(F124&lt;=7,"Questa settimana",IF(F124&lt;=30,"Entro 30 giorni","Più avanti")))))</f>
        <v/>
      </c>
      <c r="H124" s="40"/>
      <c r="I124" s="34"/>
      <c r="J124" s="34"/>
      <c r="K124" s="34"/>
      <c r="L124" s="32" t="n">
        <f aca="false">IF(D124="Ogni mese",1,IF(D124="Ogni 3 mesi",3,IF(D124="Ogni 6 mesi",6,IF(D124="Ogni anno",12,0))))</f>
        <v>0</v>
      </c>
    </row>
    <row r="125" customFormat="false" ht="19.5" hidden="false" customHeight="true" outlineLevel="0" collapsed="false">
      <c r="A125" s="30"/>
      <c r="B125" s="30"/>
      <c r="C125" s="31"/>
      <c r="D125" s="30"/>
      <c r="E125" s="37" t="str">
        <f aca="true">IF(C125="","",IF(OR(L125=0,C125&gt;=TODAY()),C125,IF(EDATE(C125,INT(((YEAR(TODAY())-YEAR(C125))*12+MONTH(TODAY())-MONTH(C125))/L125)*L125)&gt;=TODAY(),EDATE(C125,INT(((YEAR(TODAY())-YEAR(C125))*12+MONTH(TODAY())-MONTH(C125))/L125)*L125),EDATE(C125,(INT(((YEAR(TODAY())-YEAR(C125))*12+MONTH(TODAY())-MONTH(C125))/L125)+1)*L125))))</f>
        <v/>
      </c>
      <c r="F125" s="38" t="str">
        <f aca="true">IF(OR(E125="",H125="☑"),"",E125-TODAY())</f>
        <v/>
      </c>
      <c r="G125" s="32" t="str">
        <f aca="false">IF(H125="☑","Fatto",IF(E125="","",IF(F125&lt;0,"Scaduta",IF(F125&lt;=7,"Questa settimana",IF(F125&lt;=30,"Entro 30 giorni","Più avanti")))))</f>
        <v/>
      </c>
      <c r="H125" s="39"/>
      <c r="I125" s="30"/>
      <c r="J125" s="30"/>
      <c r="K125" s="30"/>
      <c r="L125" s="32" t="n">
        <f aca="false">IF(D125="Ogni mese",1,IF(D125="Ogni 3 mesi",3,IF(D125="Ogni 6 mesi",6,IF(D125="Ogni anno",12,0))))</f>
        <v>0</v>
      </c>
    </row>
    <row r="126" customFormat="false" ht="19.5" hidden="false" customHeight="true" outlineLevel="0" collapsed="false">
      <c r="A126" s="34"/>
      <c r="B126" s="34"/>
      <c r="C126" s="35"/>
      <c r="D126" s="34"/>
      <c r="E126" s="37" t="str">
        <f aca="true">IF(C126="","",IF(OR(L126=0,C126&gt;=TODAY()),C126,IF(EDATE(C126,INT(((YEAR(TODAY())-YEAR(C126))*12+MONTH(TODAY())-MONTH(C126))/L126)*L126)&gt;=TODAY(),EDATE(C126,INT(((YEAR(TODAY())-YEAR(C126))*12+MONTH(TODAY())-MONTH(C126))/L126)*L126),EDATE(C126,(INT(((YEAR(TODAY())-YEAR(C126))*12+MONTH(TODAY())-MONTH(C126))/L126)+1)*L126))))</f>
        <v/>
      </c>
      <c r="F126" s="38" t="str">
        <f aca="true">IF(OR(E126="",H126="☑"),"",E126-TODAY())</f>
        <v/>
      </c>
      <c r="G126" s="32" t="str">
        <f aca="false">IF(H126="☑","Fatto",IF(E126="","",IF(F126&lt;0,"Scaduta",IF(F126&lt;=7,"Questa settimana",IF(F126&lt;=30,"Entro 30 giorni","Più avanti")))))</f>
        <v/>
      </c>
      <c r="H126" s="40"/>
      <c r="I126" s="34"/>
      <c r="J126" s="34"/>
      <c r="K126" s="34"/>
      <c r="L126" s="32" t="n">
        <f aca="false">IF(D126="Ogni mese",1,IF(D126="Ogni 3 mesi",3,IF(D126="Ogni 6 mesi",6,IF(D126="Ogni anno",12,0))))</f>
        <v>0</v>
      </c>
    </row>
    <row r="127" customFormat="false" ht="19.5" hidden="false" customHeight="true" outlineLevel="0" collapsed="false">
      <c r="A127" s="30"/>
      <c r="B127" s="30"/>
      <c r="C127" s="31"/>
      <c r="D127" s="30"/>
      <c r="E127" s="37" t="str">
        <f aca="true">IF(C127="","",IF(OR(L127=0,C127&gt;=TODAY()),C127,IF(EDATE(C127,INT(((YEAR(TODAY())-YEAR(C127))*12+MONTH(TODAY())-MONTH(C127))/L127)*L127)&gt;=TODAY(),EDATE(C127,INT(((YEAR(TODAY())-YEAR(C127))*12+MONTH(TODAY())-MONTH(C127))/L127)*L127),EDATE(C127,(INT(((YEAR(TODAY())-YEAR(C127))*12+MONTH(TODAY())-MONTH(C127))/L127)+1)*L127))))</f>
        <v/>
      </c>
      <c r="F127" s="38" t="str">
        <f aca="true">IF(OR(E127="",H127="☑"),"",E127-TODAY())</f>
        <v/>
      </c>
      <c r="G127" s="32" t="str">
        <f aca="false">IF(H127="☑","Fatto",IF(E127="","",IF(F127&lt;0,"Scaduta",IF(F127&lt;=7,"Questa settimana",IF(F127&lt;=30,"Entro 30 giorni","Più avanti")))))</f>
        <v/>
      </c>
      <c r="H127" s="39"/>
      <c r="I127" s="30"/>
      <c r="J127" s="30"/>
      <c r="K127" s="30"/>
      <c r="L127" s="32" t="n">
        <f aca="false">IF(D127="Ogni mese",1,IF(D127="Ogni 3 mesi",3,IF(D127="Ogni 6 mesi",6,IF(D127="Ogni anno",12,0))))</f>
        <v>0</v>
      </c>
    </row>
    <row r="128" customFormat="false" ht="19.5" hidden="false" customHeight="true" outlineLevel="0" collapsed="false">
      <c r="A128" s="34"/>
      <c r="B128" s="34"/>
      <c r="C128" s="35"/>
      <c r="D128" s="34"/>
      <c r="E128" s="37" t="str">
        <f aca="true">IF(C128="","",IF(OR(L128=0,C128&gt;=TODAY()),C128,IF(EDATE(C128,INT(((YEAR(TODAY())-YEAR(C128))*12+MONTH(TODAY())-MONTH(C128))/L128)*L128)&gt;=TODAY(),EDATE(C128,INT(((YEAR(TODAY())-YEAR(C128))*12+MONTH(TODAY())-MONTH(C128))/L128)*L128),EDATE(C128,(INT(((YEAR(TODAY())-YEAR(C128))*12+MONTH(TODAY())-MONTH(C128))/L128)+1)*L128))))</f>
        <v/>
      </c>
      <c r="F128" s="38" t="str">
        <f aca="true">IF(OR(E128="",H128="☑"),"",E128-TODAY())</f>
        <v/>
      </c>
      <c r="G128" s="32" t="str">
        <f aca="false">IF(H128="☑","Fatto",IF(E128="","",IF(F128&lt;0,"Scaduta",IF(F128&lt;=7,"Questa settimana",IF(F128&lt;=30,"Entro 30 giorni","Più avanti")))))</f>
        <v/>
      </c>
      <c r="H128" s="40"/>
      <c r="I128" s="34"/>
      <c r="J128" s="34"/>
      <c r="K128" s="34"/>
      <c r="L128" s="32" t="n">
        <f aca="false">IF(D128="Ogni mese",1,IF(D128="Ogni 3 mesi",3,IF(D128="Ogni 6 mesi",6,IF(D128="Ogni anno",12,0))))</f>
        <v>0</v>
      </c>
    </row>
    <row r="129" customFormat="false" ht="19.5" hidden="false" customHeight="true" outlineLevel="0" collapsed="false">
      <c r="A129" s="30"/>
      <c r="B129" s="30"/>
      <c r="C129" s="31"/>
      <c r="D129" s="30"/>
      <c r="E129" s="37" t="str">
        <f aca="true">IF(C129="","",IF(OR(L129=0,C129&gt;=TODAY()),C129,IF(EDATE(C129,INT(((YEAR(TODAY())-YEAR(C129))*12+MONTH(TODAY())-MONTH(C129))/L129)*L129)&gt;=TODAY(),EDATE(C129,INT(((YEAR(TODAY())-YEAR(C129))*12+MONTH(TODAY())-MONTH(C129))/L129)*L129),EDATE(C129,(INT(((YEAR(TODAY())-YEAR(C129))*12+MONTH(TODAY())-MONTH(C129))/L129)+1)*L129))))</f>
        <v/>
      </c>
      <c r="F129" s="38" t="str">
        <f aca="true">IF(OR(E129="",H129="☑"),"",E129-TODAY())</f>
        <v/>
      </c>
      <c r="G129" s="32" t="str">
        <f aca="false">IF(H129="☑","Fatto",IF(E129="","",IF(F129&lt;0,"Scaduta",IF(F129&lt;=7,"Questa settimana",IF(F129&lt;=30,"Entro 30 giorni","Più avanti")))))</f>
        <v/>
      </c>
      <c r="H129" s="39"/>
      <c r="I129" s="30"/>
      <c r="J129" s="30"/>
      <c r="K129" s="30"/>
      <c r="L129" s="32" t="n">
        <f aca="false">IF(D129="Ogni mese",1,IF(D129="Ogni 3 mesi",3,IF(D129="Ogni 6 mesi",6,IF(D129="Ogni anno",12,0))))</f>
        <v>0</v>
      </c>
    </row>
    <row r="130" customFormat="false" ht="19.5" hidden="false" customHeight="true" outlineLevel="0" collapsed="false">
      <c r="A130" s="34"/>
      <c r="B130" s="34"/>
      <c r="C130" s="35"/>
      <c r="D130" s="34"/>
      <c r="E130" s="37" t="str">
        <f aca="true">IF(C130="","",IF(OR(L130=0,C130&gt;=TODAY()),C130,IF(EDATE(C130,INT(((YEAR(TODAY())-YEAR(C130))*12+MONTH(TODAY())-MONTH(C130))/L130)*L130)&gt;=TODAY(),EDATE(C130,INT(((YEAR(TODAY())-YEAR(C130))*12+MONTH(TODAY())-MONTH(C130))/L130)*L130),EDATE(C130,(INT(((YEAR(TODAY())-YEAR(C130))*12+MONTH(TODAY())-MONTH(C130))/L130)+1)*L130))))</f>
        <v/>
      </c>
      <c r="F130" s="38" t="str">
        <f aca="true">IF(OR(E130="",H130="☑"),"",E130-TODAY())</f>
        <v/>
      </c>
      <c r="G130" s="32" t="str">
        <f aca="false">IF(H130="☑","Fatto",IF(E130="","",IF(F130&lt;0,"Scaduta",IF(F130&lt;=7,"Questa settimana",IF(F130&lt;=30,"Entro 30 giorni","Più avanti")))))</f>
        <v/>
      </c>
      <c r="H130" s="40"/>
      <c r="I130" s="34"/>
      <c r="J130" s="34"/>
      <c r="K130" s="34"/>
      <c r="L130" s="32" t="n">
        <f aca="false">IF(D130="Ogni mese",1,IF(D130="Ogni 3 mesi",3,IF(D130="Ogni 6 mesi",6,IF(D130="Ogni anno",12,0))))</f>
        <v>0</v>
      </c>
    </row>
    <row r="131" customFormat="false" ht="19.5" hidden="false" customHeight="true" outlineLevel="0" collapsed="false">
      <c r="A131" s="30"/>
      <c r="B131" s="30"/>
      <c r="C131" s="31"/>
      <c r="D131" s="30"/>
      <c r="E131" s="37" t="str">
        <f aca="true">IF(C131="","",IF(OR(L131=0,C131&gt;=TODAY()),C131,IF(EDATE(C131,INT(((YEAR(TODAY())-YEAR(C131))*12+MONTH(TODAY())-MONTH(C131))/L131)*L131)&gt;=TODAY(),EDATE(C131,INT(((YEAR(TODAY())-YEAR(C131))*12+MONTH(TODAY())-MONTH(C131))/L131)*L131),EDATE(C131,(INT(((YEAR(TODAY())-YEAR(C131))*12+MONTH(TODAY())-MONTH(C131))/L131)+1)*L131))))</f>
        <v/>
      </c>
      <c r="F131" s="38" t="str">
        <f aca="true">IF(OR(E131="",H131="☑"),"",E131-TODAY())</f>
        <v/>
      </c>
      <c r="G131" s="32" t="str">
        <f aca="false">IF(H131="☑","Fatto",IF(E131="","",IF(F131&lt;0,"Scaduta",IF(F131&lt;=7,"Questa settimana",IF(F131&lt;=30,"Entro 30 giorni","Più avanti")))))</f>
        <v/>
      </c>
      <c r="H131" s="39"/>
      <c r="I131" s="30"/>
      <c r="J131" s="30"/>
      <c r="K131" s="30"/>
      <c r="L131" s="32" t="n">
        <f aca="false">IF(D131="Ogni mese",1,IF(D131="Ogni 3 mesi",3,IF(D131="Ogni 6 mesi",6,IF(D131="Ogni anno",12,0))))</f>
        <v>0</v>
      </c>
    </row>
    <row r="132" customFormat="false" ht="19.5" hidden="false" customHeight="true" outlineLevel="0" collapsed="false">
      <c r="A132" s="34"/>
      <c r="B132" s="34"/>
      <c r="C132" s="35"/>
      <c r="D132" s="34"/>
      <c r="E132" s="37" t="str">
        <f aca="true">IF(C132="","",IF(OR(L132=0,C132&gt;=TODAY()),C132,IF(EDATE(C132,INT(((YEAR(TODAY())-YEAR(C132))*12+MONTH(TODAY())-MONTH(C132))/L132)*L132)&gt;=TODAY(),EDATE(C132,INT(((YEAR(TODAY())-YEAR(C132))*12+MONTH(TODAY())-MONTH(C132))/L132)*L132),EDATE(C132,(INT(((YEAR(TODAY())-YEAR(C132))*12+MONTH(TODAY())-MONTH(C132))/L132)+1)*L132))))</f>
        <v/>
      </c>
      <c r="F132" s="38" t="str">
        <f aca="true">IF(OR(E132="",H132="☑"),"",E132-TODAY())</f>
        <v/>
      </c>
      <c r="G132" s="32" t="str">
        <f aca="false">IF(H132="☑","Fatto",IF(E132="","",IF(F132&lt;0,"Scaduta",IF(F132&lt;=7,"Questa settimana",IF(F132&lt;=30,"Entro 30 giorni","Più avanti")))))</f>
        <v/>
      </c>
      <c r="H132" s="40"/>
      <c r="I132" s="34"/>
      <c r="J132" s="34"/>
      <c r="K132" s="34"/>
      <c r="L132" s="32" t="n">
        <f aca="false">IF(D132="Ogni mese",1,IF(D132="Ogni 3 mesi",3,IF(D132="Ogni 6 mesi",6,IF(D132="Ogni anno",12,0))))</f>
        <v>0</v>
      </c>
    </row>
    <row r="133" customFormat="false" ht="19.5" hidden="false" customHeight="true" outlineLevel="0" collapsed="false">
      <c r="A133" s="30"/>
      <c r="B133" s="30"/>
      <c r="C133" s="31"/>
      <c r="D133" s="30"/>
      <c r="E133" s="37" t="str">
        <f aca="true">IF(C133="","",IF(OR(L133=0,C133&gt;=TODAY()),C133,IF(EDATE(C133,INT(((YEAR(TODAY())-YEAR(C133))*12+MONTH(TODAY())-MONTH(C133))/L133)*L133)&gt;=TODAY(),EDATE(C133,INT(((YEAR(TODAY())-YEAR(C133))*12+MONTH(TODAY())-MONTH(C133))/L133)*L133),EDATE(C133,(INT(((YEAR(TODAY())-YEAR(C133))*12+MONTH(TODAY())-MONTH(C133))/L133)+1)*L133))))</f>
        <v/>
      </c>
      <c r="F133" s="38" t="str">
        <f aca="true">IF(OR(E133="",H133="☑"),"",E133-TODAY())</f>
        <v/>
      </c>
      <c r="G133" s="32" t="str">
        <f aca="false">IF(H133="☑","Fatto",IF(E133="","",IF(F133&lt;0,"Scaduta",IF(F133&lt;=7,"Questa settimana",IF(F133&lt;=30,"Entro 30 giorni","Più avanti")))))</f>
        <v/>
      </c>
      <c r="H133" s="39"/>
      <c r="I133" s="30"/>
      <c r="J133" s="30"/>
      <c r="K133" s="30"/>
      <c r="L133" s="32" t="n">
        <f aca="false">IF(D133="Ogni mese",1,IF(D133="Ogni 3 mesi",3,IF(D133="Ogni 6 mesi",6,IF(D133="Ogni anno",12,0))))</f>
        <v>0</v>
      </c>
    </row>
    <row r="134" customFormat="false" ht="19.5" hidden="false" customHeight="true" outlineLevel="0" collapsed="false">
      <c r="A134" s="34"/>
      <c r="B134" s="34"/>
      <c r="C134" s="35"/>
      <c r="D134" s="34"/>
      <c r="E134" s="37" t="str">
        <f aca="true">IF(C134="","",IF(OR(L134=0,C134&gt;=TODAY()),C134,IF(EDATE(C134,INT(((YEAR(TODAY())-YEAR(C134))*12+MONTH(TODAY())-MONTH(C134))/L134)*L134)&gt;=TODAY(),EDATE(C134,INT(((YEAR(TODAY())-YEAR(C134))*12+MONTH(TODAY())-MONTH(C134))/L134)*L134),EDATE(C134,(INT(((YEAR(TODAY())-YEAR(C134))*12+MONTH(TODAY())-MONTH(C134))/L134)+1)*L134))))</f>
        <v/>
      </c>
      <c r="F134" s="38" t="str">
        <f aca="true">IF(OR(E134="",H134="☑"),"",E134-TODAY())</f>
        <v/>
      </c>
      <c r="G134" s="32" t="str">
        <f aca="false">IF(H134="☑","Fatto",IF(E134="","",IF(F134&lt;0,"Scaduta",IF(F134&lt;=7,"Questa settimana",IF(F134&lt;=30,"Entro 30 giorni","Più avanti")))))</f>
        <v/>
      </c>
      <c r="H134" s="40"/>
      <c r="I134" s="34"/>
      <c r="J134" s="34"/>
      <c r="K134" s="34"/>
      <c r="L134" s="32" t="n">
        <f aca="false">IF(D134="Ogni mese",1,IF(D134="Ogni 3 mesi",3,IF(D134="Ogni 6 mesi",6,IF(D134="Ogni anno",12,0))))</f>
        <v>0</v>
      </c>
    </row>
    <row r="135" customFormat="false" ht="19.5" hidden="false" customHeight="true" outlineLevel="0" collapsed="false">
      <c r="A135" s="30"/>
      <c r="B135" s="30"/>
      <c r="C135" s="31"/>
      <c r="D135" s="30"/>
      <c r="E135" s="37" t="str">
        <f aca="true">IF(C135="","",IF(OR(L135=0,C135&gt;=TODAY()),C135,IF(EDATE(C135,INT(((YEAR(TODAY())-YEAR(C135))*12+MONTH(TODAY())-MONTH(C135))/L135)*L135)&gt;=TODAY(),EDATE(C135,INT(((YEAR(TODAY())-YEAR(C135))*12+MONTH(TODAY())-MONTH(C135))/L135)*L135),EDATE(C135,(INT(((YEAR(TODAY())-YEAR(C135))*12+MONTH(TODAY())-MONTH(C135))/L135)+1)*L135))))</f>
        <v/>
      </c>
      <c r="F135" s="38" t="str">
        <f aca="true">IF(OR(E135="",H135="☑"),"",E135-TODAY())</f>
        <v/>
      </c>
      <c r="G135" s="32" t="str">
        <f aca="false">IF(H135="☑","Fatto",IF(E135="","",IF(F135&lt;0,"Scaduta",IF(F135&lt;=7,"Questa settimana",IF(F135&lt;=30,"Entro 30 giorni","Più avanti")))))</f>
        <v/>
      </c>
      <c r="H135" s="39"/>
      <c r="I135" s="30"/>
      <c r="J135" s="30"/>
      <c r="K135" s="30"/>
      <c r="L135" s="32" t="n">
        <f aca="false">IF(D135="Ogni mese",1,IF(D135="Ogni 3 mesi",3,IF(D135="Ogni 6 mesi",6,IF(D135="Ogni anno",12,0))))</f>
        <v>0</v>
      </c>
    </row>
    <row r="136" customFormat="false" ht="19.5" hidden="false" customHeight="true" outlineLevel="0" collapsed="false">
      <c r="A136" s="34"/>
      <c r="B136" s="34"/>
      <c r="C136" s="35"/>
      <c r="D136" s="34"/>
      <c r="E136" s="37" t="str">
        <f aca="true">IF(C136="","",IF(OR(L136=0,C136&gt;=TODAY()),C136,IF(EDATE(C136,INT(((YEAR(TODAY())-YEAR(C136))*12+MONTH(TODAY())-MONTH(C136))/L136)*L136)&gt;=TODAY(),EDATE(C136,INT(((YEAR(TODAY())-YEAR(C136))*12+MONTH(TODAY())-MONTH(C136))/L136)*L136),EDATE(C136,(INT(((YEAR(TODAY())-YEAR(C136))*12+MONTH(TODAY())-MONTH(C136))/L136)+1)*L136))))</f>
        <v/>
      </c>
      <c r="F136" s="38" t="str">
        <f aca="true">IF(OR(E136="",H136="☑"),"",E136-TODAY())</f>
        <v/>
      </c>
      <c r="G136" s="32" t="str">
        <f aca="false">IF(H136="☑","Fatto",IF(E136="","",IF(F136&lt;0,"Scaduta",IF(F136&lt;=7,"Questa settimana",IF(F136&lt;=30,"Entro 30 giorni","Più avanti")))))</f>
        <v/>
      </c>
      <c r="H136" s="40"/>
      <c r="I136" s="34"/>
      <c r="J136" s="34"/>
      <c r="K136" s="34"/>
      <c r="L136" s="32" t="n">
        <f aca="false">IF(D136="Ogni mese",1,IF(D136="Ogni 3 mesi",3,IF(D136="Ogni 6 mesi",6,IF(D136="Ogni anno",12,0))))</f>
        <v>0</v>
      </c>
    </row>
    <row r="137" customFormat="false" ht="19.5" hidden="false" customHeight="true" outlineLevel="0" collapsed="false">
      <c r="A137" s="30"/>
      <c r="B137" s="30"/>
      <c r="C137" s="31"/>
      <c r="D137" s="30"/>
      <c r="E137" s="37" t="str">
        <f aca="true">IF(C137="","",IF(OR(L137=0,C137&gt;=TODAY()),C137,IF(EDATE(C137,INT(((YEAR(TODAY())-YEAR(C137))*12+MONTH(TODAY())-MONTH(C137))/L137)*L137)&gt;=TODAY(),EDATE(C137,INT(((YEAR(TODAY())-YEAR(C137))*12+MONTH(TODAY())-MONTH(C137))/L137)*L137),EDATE(C137,(INT(((YEAR(TODAY())-YEAR(C137))*12+MONTH(TODAY())-MONTH(C137))/L137)+1)*L137))))</f>
        <v/>
      </c>
      <c r="F137" s="38" t="str">
        <f aca="true">IF(OR(E137="",H137="☑"),"",E137-TODAY())</f>
        <v/>
      </c>
      <c r="G137" s="32" t="str">
        <f aca="false">IF(H137="☑","Fatto",IF(E137="","",IF(F137&lt;0,"Scaduta",IF(F137&lt;=7,"Questa settimana",IF(F137&lt;=30,"Entro 30 giorni","Più avanti")))))</f>
        <v/>
      </c>
      <c r="H137" s="39"/>
      <c r="I137" s="30"/>
      <c r="J137" s="30"/>
      <c r="K137" s="30"/>
      <c r="L137" s="32" t="n">
        <f aca="false">IF(D137="Ogni mese",1,IF(D137="Ogni 3 mesi",3,IF(D137="Ogni 6 mesi",6,IF(D137="Ogni anno",12,0))))</f>
        <v>0</v>
      </c>
    </row>
    <row r="138" customFormat="false" ht="19.5" hidden="false" customHeight="true" outlineLevel="0" collapsed="false">
      <c r="A138" s="34"/>
      <c r="B138" s="34"/>
      <c r="C138" s="35"/>
      <c r="D138" s="34"/>
      <c r="E138" s="37" t="str">
        <f aca="true">IF(C138="","",IF(OR(L138=0,C138&gt;=TODAY()),C138,IF(EDATE(C138,INT(((YEAR(TODAY())-YEAR(C138))*12+MONTH(TODAY())-MONTH(C138))/L138)*L138)&gt;=TODAY(),EDATE(C138,INT(((YEAR(TODAY())-YEAR(C138))*12+MONTH(TODAY())-MONTH(C138))/L138)*L138),EDATE(C138,(INT(((YEAR(TODAY())-YEAR(C138))*12+MONTH(TODAY())-MONTH(C138))/L138)+1)*L138))))</f>
        <v/>
      </c>
      <c r="F138" s="38" t="str">
        <f aca="true">IF(OR(E138="",H138="☑"),"",E138-TODAY())</f>
        <v/>
      </c>
      <c r="G138" s="32" t="str">
        <f aca="false">IF(H138="☑","Fatto",IF(E138="","",IF(F138&lt;0,"Scaduta",IF(F138&lt;=7,"Questa settimana",IF(F138&lt;=30,"Entro 30 giorni","Più avanti")))))</f>
        <v/>
      </c>
      <c r="H138" s="40"/>
      <c r="I138" s="34"/>
      <c r="J138" s="34"/>
      <c r="K138" s="34"/>
      <c r="L138" s="32" t="n">
        <f aca="false">IF(D138="Ogni mese",1,IF(D138="Ogni 3 mesi",3,IF(D138="Ogni 6 mesi",6,IF(D138="Ogni anno",12,0))))</f>
        <v>0</v>
      </c>
    </row>
    <row r="139" customFormat="false" ht="19.5" hidden="false" customHeight="true" outlineLevel="0" collapsed="false">
      <c r="A139" s="30"/>
      <c r="B139" s="30"/>
      <c r="C139" s="31"/>
      <c r="D139" s="30"/>
      <c r="E139" s="37" t="str">
        <f aca="true">IF(C139="","",IF(OR(L139=0,C139&gt;=TODAY()),C139,IF(EDATE(C139,INT(((YEAR(TODAY())-YEAR(C139))*12+MONTH(TODAY())-MONTH(C139))/L139)*L139)&gt;=TODAY(),EDATE(C139,INT(((YEAR(TODAY())-YEAR(C139))*12+MONTH(TODAY())-MONTH(C139))/L139)*L139),EDATE(C139,(INT(((YEAR(TODAY())-YEAR(C139))*12+MONTH(TODAY())-MONTH(C139))/L139)+1)*L139))))</f>
        <v/>
      </c>
      <c r="F139" s="38" t="str">
        <f aca="true">IF(OR(E139="",H139="☑"),"",E139-TODAY())</f>
        <v/>
      </c>
      <c r="G139" s="32" t="str">
        <f aca="false">IF(H139="☑","Fatto",IF(E139="","",IF(F139&lt;0,"Scaduta",IF(F139&lt;=7,"Questa settimana",IF(F139&lt;=30,"Entro 30 giorni","Più avanti")))))</f>
        <v/>
      </c>
      <c r="H139" s="39"/>
      <c r="I139" s="30"/>
      <c r="J139" s="30"/>
      <c r="K139" s="30"/>
      <c r="L139" s="32" t="n">
        <f aca="false">IF(D139="Ogni mese",1,IF(D139="Ogni 3 mesi",3,IF(D139="Ogni 6 mesi",6,IF(D139="Ogni anno",12,0))))</f>
        <v>0</v>
      </c>
    </row>
    <row r="140" customFormat="false" ht="19.5" hidden="false" customHeight="true" outlineLevel="0" collapsed="false">
      <c r="A140" s="34"/>
      <c r="B140" s="34"/>
      <c r="C140" s="35"/>
      <c r="D140" s="34"/>
      <c r="E140" s="37" t="str">
        <f aca="true">IF(C140="","",IF(OR(L140=0,C140&gt;=TODAY()),C140,IF(EDATE(C140,INT(((YEAR(TODAY())-YEAR(C140))*12+MONTH(TODAY())-MONTH(C140))/L140)*L140)&gt;=TODAY(),EDATE(C140,INT(((YEAR(TODAY())-YEAR(C140))*12+MONTH(TODAY())-MONTH(C140))/L140)*L140),EDATE(C140,(INT(((YEAR(TODAY())-YEAR(C140))*12+MONTH(TODAY())-MONTH(C140))/L140)+1)*L140))))</f>
        <v/>
      </c>
      <c r="F140" s="38" t="str">
        <f aca="true">IF(OR(E140="",H140="☑"),"",E140-TODAY())</f>
        <v/>
      </c>
      <c r="G140" s="32" t="str">
        <f aca="false">IF(H140="☑","Fatto",IF(E140="","",IF(F140&lt;0,"Scaduta",IF(F140&lt;=7,"Questa settimana",IF(F140&lt;=30,"Entro 30 giorni","Più avanti")))))</f>
        <v/>
      </c>
      <c r="H140" s="40"/>
      <c r="I140" s="34"/>
      <c r="J140" s="34"/>
      <c r="K140" s="34"/>
      <c r="L140" s="32" t="n">
        <f aca="false">IF(D140="Ogni mese",1,IF(D140="Ogni 3 mesi",3,IF(D140="Ogni 6 mesi",6,IF(D140="Ogni anno",12,0))))</f>
        <v>0</v>
      </c>
    </row>
    <row r="141" customFormat="false" ht="19.5" hidden="false" customHeight="true" outlineLevel="0" collapsed="false">
      <c r="A141" s="30"/>
      <c r="B141" s="30"/>
      <c r="C141" s="31"/>
      <c r="D141" s="30"/>
      <c r="E141" s="37" t="str">
        <f aca="true">IF(C141="","",IF(OR(L141=0,C141&gt;=TODAY()),C141,IF(EDATE(C141,INT(((YEAR(TODAY())-YEAR(C141))*12+MONTH(TODAY())-MONTH(C141))/L141)*L141)&gt;=TODAY(),EDATE(C141,INT(((YEAR(TODAY())-YEAR(C141))*12+MONTH(TODAY())-MONTH(C141))/L141)*L141),EDATE(C141,(INT(((YEAR(TODAY())-YEAR(C141))*12+MONTH(TODAY())-MONTH(C141))/L141)+1)*L141))))</f>
        <v/>
      </c>
      <c r="F141" s="38" t="str">
        <f aca="true">IF(OR(E141="",H141="☑"),"",E141-TODAY())</f>
        <v/>
      </c>
      <c r="G141" s="32" t="str">
        <f aca="false">IF(H141="☑","Fatto",IF(E141="","",IF(F141&lt;0,"Scaduta",IF(F141&lt;=7,"Questa settimana",IF(F141&lt;=30,"Entro 30 giorni","Più avanti")))))</f>
        <v/>
      </c>
      <c r="H141" s="39"/>
      <c r="I141" s="30"/>
      <c r="J141" s="30"/>
      <c r="K141" s="30"/>
      <c r="L141" s="32" t="n">
        <f aca="false">IF(D141="Ogni mese",1,IF(D141="Ogni 3 mesi",3,IF(D141="Ogni 6 mesi",6,IF(D141="Ogni anno",12,0))))</f>
        <v>0</v>
      </c>
    </row>
    <row r="142" customFormat="false" ht="19.5" hidden="false" customHeight="true" outlineLevel="0" collapsed="false">
      <c r="A142" s="34"/>
      <c r="B142" s="34"/>
      <c r="C142" s="35"/>
      <c r="D142" s="34"/>
      <c r="E142" s="37" t="str">
        <f aca="true">IF(C142="","",IF(OR(L142=0,C142&gt;=TODAY()),C142,IF(EDATE(C142,INT(((YEAR(TODAY())-YEAR(C142))*12+MONTH(TODAY())-MONTH(C142))/L142)*L142)&gt;=TODAY(),EDATE(C142,INT(((YEAR(TODAY())-YEAR(C142))*12+MONTH(TODAY())-MONTH(C142))/L142)*L142),EDATE(C142,(INT(((YEAR(TODAY())-YEAR(C142))*12+MONTH(TODAY())-MONTH(C142))/L142)+1)*L142))))</f>
        <v/>
      </c>
      <c r="F142" s="38" t="str">
        <f aca="true">IF(OR(E142="",H142="☑"),"",E142-TODAY())</f>
        <v/>
      </c>
      <c r="G142" s="32" t="str">
        <f aca="false">IF(H142="☑","Fatto",IF(E142="","",IF(F142&lt;0,"Scaduta",IF(F142&lt;=7,"Questa settimana",IF(F142&lt;=30,"Entro 30 giorni","Più avanti")))))</f>
        <v/>
      </c>
      <c r="H142" s="40"/>
      <c r="I142" s="34"/>
      <c r="J142" s="34"/>
      <c r="K142" s="34"/>
      <c r="L142" s="32" t="n">
        <f aca="false">IF(D142="Ogni mese",1,IF(D142="Ogni 3 mesi",3,IF(D142="Ogni 6 mesi",6,IF(D142="Ogni anno",12,0))))</f>
        <v>0</v>
      </c>
    </row>
    <row r="143" customFormat="false" ht="19.5" hidden="false" customHeight="true" outlineLevel="0" collapsed="false">
      <c r="A143" s="30"/>
      <c r="B143" s="30"/>
      <c r="C143" s="31"/>
      <c r="D143" s="30"/>
      <c r="E143" s="37" t="str">
        <f aca="true">IF(C143="","",IF(OR(L143=0,C143&gt;=TODAY()),C143,IF(EDATE(C143,INT(((YEAR(TODAY())-YEAR(C143))*12+MONTH(TODAY())-MONTH(C143))/L143)*L143)&gt;=TODAY(),EDATE(C143,INT(((YEAR(TODAY())-YEAR(C143))*12+MONTH(TODAY())-MONTH(C143))/L143)*L143),EDATE(C143,(INT(((YEAR(TODAY())-YEAR(C143))*12+MONTH(TODAY())-MONTH(C143))/L143)+1)*L143))))</f>
        <v/>
      </c>
      <c r="F143" s="38" t="str">
        <f aca="true">IF(OR(E143="",H143="☑"),"",E143-TODAY())</f>
        <v/>
      </c>
      <c r="G143" s="32" t="str">
        <f aca="false">IF(H143="☑","Fatto",IF(E143="","",IF(F143&lt;0,"Scaduta",IF(F143&lt;=7,"Questa settimana",IF(F143&lt;=30,"Entro 30 giorni","Più avanti")))))</f>
        <v/>
      </c>
      <c r="H143" s="39"/>
      <c r="I143" s="30"/>
      <c r="J143" s="30"/>
      <c r="K143" s="30"/>
      <c r="L143" s="32" t="n">
        <f aca="false">IF(D143="Ogni mese",1,IF(D143="Ogni 3 mesi",3,IF(D143="Ogni 6 mesi",6,IF(D143="Ogni anno",12,0))))</f>
        <v>0</v>
      </c>
    </row>
    <row r="144" customFormat="false" ht="19.5" hidden="false" customHeight="true" outlineLevel="0" collapsed="false">
      <c r="A144" s="34"/>
      <c r="B144" s="34"/>
      <c r="C144" s="35"/>
      <c r="D144" s="34"/>
      <c r="E144" s="37" t="str">
        <f aca="true">IF(C144="","",IF(OR(L144=0,C144&gt;=TODAY()),C144,IF(EDATE(C144,INT(((YEAR(TODAY())-YEAR(C144))*12+MONTH(TODAY())-MONTH(C144))/L144)*L144)&gt;=TODAY(),EDATE(C144,INT(((YEAR(TODAY())-YEAR(C144))*12+MONTH(TODAY())-MONTH(C144))/L144)*L144),EDATE(C144,(INT(((YEAR(TODAY())-YEAR(C144))*12+MONTH(TODAY())-MONTH(C144))/L144)+1)*L144))))</f>
        <v/>
      </c>
      <c r="F144" s="38" t="str">
        <f aca="true">IF(OR(E144="",H144="☑"),"",E144-TODAY())</f>
        <v/>
      </c>
      <c r="G144" s="32" t="str">
        <f aca="false">IF(H144="☑","Fatto",IF(E144="","",IF(F144&lt;0,"Scaduta",IF(F144&lt;=7,"Questa settimana",IF(F144&lt;=30,"Entro 30 giorni","Più avanti")))))</f>
        <v/>
      </c>
      <c r="H144" s="40"/>
      <c r="I144" s="34"/>
      <c r="J144" s="34"/>
      <c r="K144" s="34"/>
      <c r="L144" s="32" t="n">
        <f aca="false">IF(D144="Ogni mese",1,IF(D144="Ogni 3 mesi",3,IF(D144="Ogni 6 mesi",6,IF(D144="Ogni anno",12,0))))</f>
        <v>0</v>
      </c>
    </row>
    <row r="145" customFormat="false" ht="19.5" hidden="false" customHeight="true" outlineLevel="0" collapsed="false">
      <c r="A145" s="30"/>
      <c r="B145" s="30"/>
      <c r="C145" s="31"/>
      <c r="D145" s="30"/>
      <c r="E145" s="37" t="str">
        <f aca="true">IF(C145="","",IF(OR(L145=0,C145&gt;=TODAY()),C145,IF(EDATE(C145,INT(((YEAR(TODAY())-YEAR(C145))*12+MONTH(TODAY())-MONTH(C145))/L145)*L145)&gt;=TODAY(),EDATE(C145,INT(((YEAR(TODAY())-YEAR(C145))*12+MONTH(TODAY())-MONTH(C145))/L145)*L145),EDATE(C145,(INT(((YEAR(TODAY())-YEAR(C145))*12+MONTH(TODAY())-MONTH(C145))/L145)+1)*L145))))</f>
        <v/>
      </c>
      <c r="F145" s="38" t="str">
        <f aca="true">IF(OR(E145="",H145="☑"),"",E145-TODAY())</f>
        <v/>
      </c>
      <c r="G145" s="32" t="str">
        <f aca="false">IF(H145="☑","Fatto",IF(E145="","",IF(F145&lt;0,"Scaduta",IF(F145&lt;=7,"Questa settimana",IF(F145&lt;=30,"Entro 30 giorni","Più avanti")))))</f>
        <v/>
      </c>
      <c r="H145" s="39"/>
      <c r="I145" s="30"/>
      <c r="J145" s="30"/>
      <c r="K145" s="30"/>
      <c r="L145" s="32" t="n">
        <f aca="false">IF(D145="Ogni mese",1,IF(D145="Ogni 3 mesi",3,IF(D145="Ogni 6 mesi",6,IF(D145="Ogni anno",12,0))))</f>
        <v>0</v>
      </c>
    </row>
    <row r="146" customFormat="false" ht="19.5" hidden="false" customHeight="true" outlineLevel="0" collapsed="false">
      <c r="A146" s="34"/>
      <c r="B146" s="34"/>
      <c r="C146" s="35"/>
      <c r="D146" s="34"/>
      <c r="E146" s="37" t="str">
        <f aca="true">IF(C146="","",IF(OR(L146=0,C146&gt;=TODAY()),C146,IF(EDATE(C146,INT(((YEAR(TODAY())-YEAR(C146))*12+MONTH(TODAY())-MONTH(C146))/L146)*L146)&gt;=TODAY(),EDATE(C146,INT(((YEAR(TODAY())-YEAR(C146))*12+MONTH(TODAY())-MONTH(C146))/L146)*L146),EDATE(C146,(INT(((YEAR(TODAY())-YEAR(C146))*12+MONTH(TODAY())-MONTH(C146))/L146)+1)*L146))))</f>
        <v/>
      </c>
      <c r="F146" s="38" t="str">
        <f aca="true">IF(OR(E146="",H146="☑"),"",E146-TODAY())</f>
        <v/>
      </c>
      <c r="G146" s="32" t="str">
        <f aca="false">IF(H146="☑","Fatto",IF(E146="","",IF(F146&lt;0,"Scaduta",IF(F146&lt;=7,"Questa settimana",IF(F146&lt;=30,"Entro 30 giorni","Più avanti")))))</f>
        <v/>
      </c>
      <c r="H146" s="40"/>
      <c r="I146" s="34"/>
      <c r="J146" s="34"/>
      <c r="K146" s="34"/>
      <c r="L146" s="32" t="n">
        <f aca="false">IF(D146="Ogni mese",1,IF(D146="Ogni 3 mesi",3,IF(D146="Ogni 6 mesi",6,IF(D146="Ogni anno",12,0))))</f>
        <v>0</v>
      </c>
    </row>
    <row r="147" customFormat="false" ht="19.5" hidden="false" customHeight="true" outlineLevel="0" collapsed="false">
      <c r="A147" s="30"/>
      <c r="B147" s="30"/>
      <c r="C147" s="31"/>
      <c r="D147" s="30"/>
      <c r="E147" s="37" t="str">
        <f aca="true">IF(C147="","",IF(OR(L147=0,C147&gt;=TODAY()),C147,IF(EDATE(C147,INT(((YEAR(TODAY())-YEAR(C147))*12+MONTH(TODAY())-MONTH(C147))/L147)*L147)&gt;=TODAY(),EDATE(C147,INT(((YEAR(TODAY())-YEAR(C147))*12+MONTH(TODAY())-MONTH(C147))/L147)*L147),EDATE(C147,(INT(((YEAR(TODAY())-YEAR(C147))*12+MONTH(TODAY())-MONTH(C147))/L147)+1)*L147))))</f>
        <v/>
      </c>
      <c r="F147" s="38" t="str">
        <f aca="true">IF(OR(E147="",H147="☑"),"",E147-TODAY())</f>
        <v/>
      </c>
      <c r="G147" s="32" t="str">
        <f aca="false">IF(H147="☑","Fatto",IF(E147="","",IF(F147&lt;0,"Scaduta",IF(F147&lt;=7,"Questa settimana",IF(F147&lt;=30,"Entro 30 giorni","Più avanti")))))</f>
        <v/>
      </c>
      <c r="H147" s="39"/>
      <c r="I147" s="30"/>
      <c r="J147" s="30"/>
      <c r="K147" s="30"/>
      <c r="L147" s="32" t="n">
        <f aca="false">IF(D147="Ogni mese",1,IF(D147="Ogni 3 mesi",3,IF(D147="Ogni 6 mesi",6,IF(D147="Ogni anno",12,0))))</f>
        <v>0</v>
      </c>
    </row>
    <row r="148" customFormat="false" ht="19.5" hidden="false" customHeight="true" outlineLevel="0" collapsed="false">
      <c r="A148" s="34"/>
      <c r="B148" s="34"/>
      <c r="C148" s="35"/>
      <c r="D148" s="34"/>
      <c r="E148" s="37" t="str">
        <f aca="true">IF(C148="","",IF(OR(L148=0,C148&gt;=TODAY()),C148,IF(EDATE(C148,INT(((YEAR(TODAY())-YEAR(C148))*12+MONTH(TODAY())-MONTH(C148))/L148)*L148)&gt;=TODAY(),EDATE(C148,INT(((YEAR(TODAY())-YEAR(C148))*12+MONTH(TODAY())-MONTH(C148))/L148)*L148),EDATE(C148,(INT(((YEAR(TODAY())-YEAR(C148))*12+MONTH(TODAY())-MONTH(C148))/L148)+1)*L148))))</f>
        <v/>
      </c>
      <c r="F148" s="38" t="str">
        <f aca="true">IF(OR(E148="",H148="☑"),"",E148-TODAY())</f>
        <v/>
      </c>
      <c r="G148" s="32" t="str">
        <f aca="false">IF(H148="☑","Fatto",IF(E148="","",IF(F148&lt;0,"Scaduta",IF(F148&lt;=7,"Questa settimana",IF(F148&lt;=30,"Entro 30 giorni","Più avanti")))))</f>
        <v/>
      </c>
      <c r="H148" s="40"/>
      <c r="I148" s="34"/>
      <c r="J148" s="34"/>
      <c r="K148" s="34"/>
      <c r="L148" s="32" t="n">
        <f aca="false">IF(D148="Ogni mese",1,IF(D148="Ogni 3 mesi",3,IF(D148="Ogni 6 mesi",6,IF(D148="Ogni anno",12,0))))</f>
        <v>0</v>
      </c>
    </row>
    <row r="149" customFormat="false" ht="19.5" hidden="false" customHeight="true" outlineLevel="0" collapsed="false">
      <c r="A149" s="30"/>
      <c r="B149" s="30"/>
      <c r="C149" s="31"/>
      <c r="D149" s="30"/>
      <c r="E149" s="37" t="str">
        <f aca="true">IF(C149="","",IF(OR(L149=0,C149&gt;=TODAY()),C149,IF(EDATE(C149,INT(((YEAR(TODAY())-YEAR(C149))*12+MONTH(TODAY())-MONTH(C149))/L149)*L149)&gt;=TODAY(),EDATE(C149,INT(((YEAR(TODAY())-YEAR(C149))*12+MONTH(TODAY())-MONTH(C149))/L149)*L149),EDATE(C149,(INT(((YEAR(TODAY())-YEAR(C149))*12+MONTH(TODAY())-MONTH(C149))/L149)+1)*L149))))</f>
        <v/>
      </c>
      <c r="F149" s="38" t="str">
        <f aca="true">IF(OR(E149="",H149="☑"),"",E149-TODAY())</f>
        <v/>
      </c>
      <c r="G149" s="32" t="str">
        <f aca="false">IF(H149="☑","Fatto",IF(E149="","",IF(F149&lt;0,"Scaduta",IF(F149&lt;=7,"Questa settimana",IF(F149&lt;=30,"Entro 30 giorni","Più avanti")))))</f>
        <v/>
      </c>
      <c r="H149" s="39"/>
      <c r="I149" s="30"/>
      <c r="J149" s="30"/>
      <c r="K149" s="30"/>
      <c r="L149" s="32" t="n">
        <f aca="false">IF(D149="Ogni mese",1,IF(D149="Ogni 3 mesi",3,IF(D149="Ogni 6 mesi",6,IF(D149="Ogni anno",12,0))))</f>
        <v>0</v>
      </c>
    </row>
    <row r="150" customFormat="false" ht="19.5" hidden="false" customHeight="true" outlineLevel="0" collapsed="false">
      <c r="A150" s="34"/>
      <c r="B150" s="34"/>
      <c r="C150" s="35"/>
      <c r="D150" s="34"/>
      <c r="E150" s="37" t="str">
        <f aca="true">IF(C150="","",IF(OR(L150=0,C150&gt;=TODAY()),C150,IF(EDATE(C150,INT(((YEAR(TODAY())-YEAR(C150))*12+MONTH(TODAY())-MONTH(C150))/L150)*L150)&gt;=TODAY(),EDATE(C150,INT(((YEAR(TODAY())-YEAR(C150))*12+MONTH(TODAY())-MONTH(C150))/L150)*L150),EDATE(C150,(INT(((YEAR(TODAY())-YEAR(C150))*12+MONTH(TODAY())-MONTH(C150))/L150)+1)*L150))))</f>
        <v/>
      </c>
      <c r="F150" s="38" t="str">
        <f aca="true">IF(OR(E150="",H150="☑"),"",E150-TODAY())</f>
        <v/>
      </c>
      <c r="G150" s="32" t="str">
        <f aca="false">IF(H150="☑","Fatto",IF(E150="","",IF(F150&lt;0,"Scaduta",IF(F150&lt;=7,"Questa settimana",IF(F150&lt;=30,"Entro 30 giorni","Più avanti")))))</f>
        <v/>
      </c>
      <c r="H150" s="40"/>
      <c r="I150" s="34"/>
      <c r="J150" s="34"/>
      <c r="K150" s="34"/>
      <c r="L150" s="32" t="n">
        <f aca="false">IF(D150="Ogni mese",1,IF(D150="Ogni 3 mesi",3,IF(D150="Ogni 6 mesi",6,IF(D150="Ogni anno",12,0))))</f>
        <v>0</v>
      </c>
    </row>
    <row r="151" customFormat="false" ht="19.5" hidden="false" customHeight="true" outlineLevel="0" collapsed="false">
      <c r="A151" s="30"/>
      <c r="B151" s="30"/>
      <c r="C151" s="31"/>
      <c r="D151" s="30"/>
      <c r="E151" s="37" t="str">
        <f aca="true">IF(C151="","",IF(OR(L151=0,C151&gt;=TODAY()),C151,IF(EDATE(C151,INT(((YEAR(TODAY())-YEAR(C151))*12+MONTH(TODAY())-MONTH(C151))/L151)*L151)&gt;=TODAY(),EDATE(C151,INT(((YEAR(TODAY())-YEAR(C151))*12+MONTH(TODAY())-MONTH(C151))/L151)*L151),EDATE(C151,(INT(((YEAR(TODAY())-YEAR(C151))*12+MONTH(TODAY())-MONTH(C151))/L151)+1)*L151))))</f>
        <v/>
      </c>
      <c r="F151" s="38" t="str">
        <f aca="true">IF(OR(E151="",H151="☑"),"",E151-TODAY())</f>
        <v/>
      </c>
      <c r="G151" s="32" t="str">
        <f aca="false">IF(H151="☑","Fatto",IF(E151="","",IF(F151&lt;0,"Scaduta",IF(F151&lt;=7,"Questa settimana",IF(F151&lt;=30,"Entro 30 giorni","Più avanti")))))</f>
        <v/>
      </c>
      <c r="H151" s="39"/>
      <c r="I151" s="30"/>
      <c r="J151" s="30"/>
      <c r="K151" s="30"/>
      <c r="L151" s="32" t="n">
        <f aca="false">IF(D151="Ogni mese",1,IF(D151="Ogni 3 mesi",3,IF(D151="Ogni 6 mesi",6,IF(D151="Ogni anno",12,0))))</f>
        <v>0</v>
      </c>
    </row>
    <row r="152" customFormat="false" ht="19.5" hidden="false" customHeight="true" outlineLevel="0" collapsed="false">
      <c r="A152" s="34"/>
      <c r="B152" s="34"/>
      <c r="C152" s="35"/>
      <c r="D152" s="34"/>
      <c r="E152" s="37" t="str">
        <f aca="true">IF(C152="","",IF(OR(L152=0,C152&gt;=TODAY()),C152,IF(EDATE(C152,INT(((YEAR(TODAY())-YEAR(C152))*12+MONTH(TODAY())-MONTH(C152))/L152)*L152)&gt;=TODAY(),EDATE(C152,INT(((YEAR(TODAY())-YEAR(C152))*12+MONTH(TODAY())-MONTH(C152))/L152)*L152),EDATE(C152,(INT(((YEAR(TODAY())-YEAR(C152))*12+MONTH(TODAY())-MONTH(C152))/L152)+1)*L152))))</f>
        <v/>
      </c>
      <c r="F152" s="38" t="str">
        <f aca="true">IF(OR(E152="",H152="☑"),"",E152-TODAY())</f>
        <v/>
      </c>
      <c r="G152" s="32" t="str">
        <f aca="false">IF(H152="☑","Fatto",IF(E152="","",IF(F152&lt;0,"Scaduta",IF(F152&lt;=7,"Questa settimana",IF(F152&lt;=30,"Entro 30 giorni","Più avanti")))))</f>
        <v/>
      </c>
      <c r="H152" s="40"/>
      <c r="I152" s="34"/>
      <c r="J152" s="34"/>
      <c r="K152" s="34"/>
      <c r="L152" s="32" t="n">
        <f aca="false">IF(D152="Ogni mese",1,IF(D152="Ogni 3 mesi",3,IF(D152="Ogni 6 mesi",6,IF(D152="Ogni anno",12,0))))</f>
        <v>0</v>
      </c>
    </row>
    <row r="153" customFormat="false" ht="19.5" hidden="false" customHeight="true" outlineLevel="0" collapsed="false">
      <c r="A153" s="30"/>
      <c r="B153" s="30"/>
      <c r="C153" s="31"/>
      <c r="D153" s="30"/>
      <c r="E153" s="37" t="str">
        <f aca="true">IF(C153="","",IF(OR(L153=0,C153&gt;=TODAY()),C153,IF(EDATE(C153,INT(((YEAR(TODAY())-YEAR(C153))*12+MONTH(TODAY())-MONTH(C153))/L153)*L153)&gt;=TODAY(),EDATE(C153,INT(((YEAR(TODAY())-YEAR(C153))*12+MONTH(TODAY())-MONTH(C153))/L153)*L153),EDATE(C153,(INT(((YEAR(TODAY())-YEAR(C153))*12+MONTH(TODAY())-MONTH(C153))/L153)+1)*L153))))</f>
        <v/>
      </c>
      <c r="F153" s="38" t="str">
        <f aca="true">IF(OR(E153="",H153="☑"),"",E153-TODAY())</f>
        <v/>
      </c>
      <c r="G153" s="32" t="str">
        <f aca="false">IF(H153="☑","Fatto",IF(E153="","",IF(F153&lt;0,"Scaduta",IF(F153&lt;=7,"Questa settimana",IF(F153&lt;=30,"Entro 30 giorni","Più avanti")))))</f>
        <v/>
      </c>
      <c r="H153" s="39"/>
      <c r="I153" s="30"/>
      <c r="J153" s="30"/>
      <c r="K153" s="30"/>
      <c r="L153" s="32" t="n">
        <f aca="false">IF(D153="Ogni mese",1,IF(D153="Ogni 3 mesi",3,IF(D153="Ogni 6 mesi",6,IF(D153="Ogni anno",12,0))))</f>
        <v>0</v>
      </c>
    </row>
    <row r="154" customFormat="false" ht="19.5" hidden="false" customHeight="true" outlineLevel="0" collapsed="false">
      <c r="A154" s="34"/>
      <c r="B154" s="34"/>
      <c r="C154" s="35"/>
      <c r="D154" s="34"/>
      <c r="E154" s="37" t="str">
        <f aca="true">IF(C154="","",IF(OR(L154=0,C154&gt;=TODAY()),C154,IF(EDATE(C154,INT(((YEAR(TODAY())-YEAR(C154))*12+MONTH(TODAY())-MONTH(C154))/L154)*L154)&gt;=TODAY(),EDATE(C154,INT(((YEAR(TODAY())-YEAR(C154))*12+MONTH(TODAY())-MONTH(C154))/L154)*L154),EDATE(C154,(INT(((YEAR(TODAY())-YEAR(C154))*12+MONTH(TODAY())-MONTH(C154))/L154)+1)*L154))))</f>
        <v/>
      </c>
      <c r="F154" s="38" t="str">
        <f aca="true">IF(OR(E154="",H154="☑"),"",E154-TODAY())</f>
        <v/>
      </c>
      <c r="G154" s="32" t="str">
        <f aca="false">IF(H154="☑","Fatto",IF(E154="","",IF(F154&lt;0,"Scaduta",IF(F154&lt;=7,"Questa settimana",IF(F154&lt;=30,"Entro 30 giorni","Più avanti")))))</f>
        <v/>
      </c>
      <c r="H154" s="40"/>
      <c r="I154" s="34"/>
      <c r="J154" s="34"/>
      <c r="K154" s="34"/>
      <c r="L154" s="32" t="n">
        <f aca="false">IF(D154="Ogni mese",1,IF(D154="Ogni 3 mesi",3,IF(D154="Ogni 6 mesi",6,IF(D154="Ogni anno",12,0))))</f>
        <v>0</v>
      </c>
    </row>
    <row r="155" customFormat="false" ht="19.5" hidden="false" customHeight="true" outlineLevel="0" collapsed="false">
      <c r="A155" s="30"/>
      <c r="B155" s="30"/>
      <c r="C155" s="31"/>
      <c r="D155" s="30"/>
      <c r="E155" s="37" t="str">
        <f aca="true">IF(C155="","",IF(OR(L155=0,C155&gt;=TODAY()),C155,IF(EDATE(C155,INT(((YEAR(TODAY())-YEAR(C155))*12+MONTH(TODAY())-MONTH(C155))/L155)*L155)&gt;=TODAY(),EDATE(C155,INT(((YEAR(TODAY())-YEAR(C155))*12+MONTH(TODAY())-MONTH(C155))/L155)*L155),EDATE(C155,(INT(((YEAR(TODAY())-YEAR(C155))*12+MONTH(TODAY())-MONTH(C155))/L155)+1)*L155))))</f>
        <v/>
      </c>
      <c r="F155" s="38" t="str">
        <f aca="true">IF(OR(E155="",H155="☑"),"",E155-TODAY())</f>
        <v/>
      </c>
      <c r="G155" s="32" t="str">
        <f aca="false">IF(H155="☑","Fatto",IF(E155="","",IF(F155&lt;0,"Scaduta",IF(F155&lt;=7,"Questa settimana",IF(F155&lt;=30,"Entro 30 giorni","Più avanti")))))</f>
        <v/>
      </c>
      <c r="H155" s="39"/>
      <c r="I155" s="30"/>
      <c r="J155" s="30"/>
      <c r="K155" s="30"/>
      <c r="L155" s="32" t="n">
        <f aca="false">IF(D155="Ogni mese",1,IF(D155="Ogni 3 mesi",3,IF(D155="Ogni 6 mesi",6,IF(D155="Ogni anno",12,0))))</f>
        <v>0</v>
      </c>
    </row>
    <row r="156" customFormat="false" ht="19.5" hidden="false" customHeight="true" outlineLevel="0" collapsed="false">
      <c r="A156" s="34"/>
      <c r="B156" s="34"/>
      <c r="C156" s="35"/>
      <c r="D156" s="34"/>
      <c r="E156" s="37" t="str">
        <f aca="true">IF(C156="","",IF(OR(L156=0,C156&gt;=TODAY()),C156,IF(EDATE(C156,INT(((YEAR(TODAY())-YEAR(C156))*12+MONTH(TODAY())-MONTH(C156))/L156)*L156)&gt;=TODAY(),EDATE(C156,INT(((YEAR(TODAY())-YEAR(C156))*12+MONTH(TODAY())-MONTH(C156))/L156)*L156),EDATE(C156,(INT(((YEAR(TODAY())-YEAR(C156))*12+MONTH(TODAY())-MONTH(C156))/L156)+1)*L156))))</f>
        <v/>
      </c>
      <c r="F156" s="38" t="str">
        <f aca="true">IF(OR(E156="",H156="☑"),"",E156-TODAY())</f>
        <v/>
      </c>
      <c r="G156" s="32" t="str">
        <f aca="false">IF(H156="☑","Fatto",IF(E156="","",IF(F156&lt;0,"Scaduta",IF(F156&lt;=7,"Questa settimana",IF(F156&lt;=30,"Entro 30 giorni","Più avanti")))))</f>
        <v/>
      </c>
      <c r="H156" s="40"/>
      <c r="I156" s="34"/>
      <c r="J156" s="34"/>
      <c r="K156" s="34"/>
      <c r="L156" s="32" t="n">
        <f aca="false">IF(D156="Ogni mese",1,IF(D156="Ogni 3 mesi",3,IF(D156="Ogni 6 mesi",6,IF(D156="Ogni anno",12,0))))</f>
        <v>0</v>
      </c>
    </row>
    <row r="157" customFormat="false" ht="19.5" hidden="false" customHeight="true" outlineLevel="0" collapsed="false">
      <c r="A157" s="30"/>
      <c r="B157" s="30"/>
      <c r="C157" s="31"/>
      <c r="D157" s="30"/>
      <c r="E157" s="37" t="str">
        <f aca="true">IF(C157="","",IF(OR(L157=0,C157&gt;=TODAY()),C157,IF(EDATE(C157,INT(((YEAR(TODAY())-YEAR(C157))*12+MONTH(TODAY())-MONTH(C157))/L157)*L157)&gt;=TODAY(),EDATE(C157,INT(((YEAR(TODAY())-YEAR(C157))*12+MONTH(TODAY())-MONTH(C157))/L157)*L157),EDATE(C157,(INT(((YEAR(TODAY())-YEAR(C157))*12+MONTH(TODAY())-MONTH(C157))/L157)+1)*L157))))</f>
        <v/>
      </c>
      <c r="F157" s="38" t="str">
        <f aca="true">IF(OR(E157="",H157="☑"),"",E157-TODAY())</f>
        <v/>
      </c>
      <c r="G157" s="32" t="str">
        <f aca="false">IF(H157="☑","Fatto",IF(E157="","",IF(F157&lt;0,"Scaduta",IF(F157&lt;=7,"Questa settimana",IF(F157&lt;=30,"Entro 30 giorni","Più avanti")))))</f>
        <v/>
      </c>
      <c r="H157" s="39"/>
      <c r="I157" s="30"/>
      <c r="J157" s="30"/>
      <c r="K157" s="30"/>
      <c r="L157" s="32" t="n">
        <f aca="false">IF(D157="Ogni mese",1,IF(D157="Ogni 3 mesi",3,IF(D157="Ogni 6 mesi",6,IF(D157="Ogni anno",12,0))))</f>
        <v>0</v>
      </c>
    </row>
    <row r="158" customFormat="false" ht="19.5" hidden="false" customHeight="true" outlineLevel="0" collapsed="false">
      <c r="A158" s="34"/>
      <c r="B158" s="34"/>
      <c r="C158" s="35"/>
      <c r="D158" s="34"/>
      <c r="E158" s="37" t="str">
        <f aca="true">IF(C158="","",IF(OR(L158=0,C158&gt;=TODAY()),C158,IF(EDATE(C158,INT(((YEAR(TODAY())-YEAR(C158))*12+MONTH(TODAY())-MONTH(C158))/L158)*L158)&gt;=TODAY(),EDATE(C158,INT(((YEAR(TODAY())-YEAR(C158))*12+MONTH(TODAY())-MONTH(C158))/L158)*L158),EDATE(C158,(INT(((YEAR(TODAY())-YEAR(C158))*12+MONTH(TODAY())-MONTH(C158))/L158)+1)*L158))))</f>
        <v/>
      </c>
      <c r="F158" s="38" t="str">
        <f aca="true">IF(OR(E158="",H158="☑"),"",E158-TODAY())</f>
        <v/>
      </c>
      <c r="G158" s="32" t="str">
        <f aca="false">IF(H158="☑","Fatto",IF(E158="","",IF(F158&lt;0,"Scaduta",IF(F158&lt;=7,"Questa settimana",IF(F158&lt;=30,"Entro 30 giorni","Più avanti")))))</f>
        <v/>
      </c>
      <c r="H158" s="40"/>
      <c r="I158" s="34"/>
      <c r="J158" s="34"/>
      <c r="K158" s="34"/>
      <c r="L158" s="32" t="n">
        <f aca="false">IF(D158="Ogni mese",1,IF(D158="Ogni 3 mesi",3,IF(D158="Ogni 6 mesi",6,IF(D158="Ogni anno",12,0))))</f>
        <v>0</v>
      </c>
    </row>
    <row r="159" customFormat="false" ht="19.5" hidden="false" customHeight="true" outlineLevel="0" collapsed="false">
      <c r="A159" s="30"/>
      <c r="B159" s="30"/>
      <c r="C159" s="31"/>
      <c r="D159" s="30"/>
      <c r="E159" s="37" t="str">
        <f aca="true">IF(C159="","",IF(OR(L159=0,C159&gt;=TODAY()),C159,IF(EDATE(C159,INT(((YEAR(TODAY())-YEAR(C159))*12+MONTH(TODAY())-MONTH(C159))/L159)*L159)&gt;=TODAY(),EDATE(C159,INT(((YEAR(TODAY())-YEAR(C159))*12+MONTH(TODAY())-MONTH(C159))/L159)*L159),EDATE(C159,(INT(((YEAR(TODAY())-YEAR(C159))*12+MONTH(TODAY())-MONTH(C159))/L159)+1)*L159))))</f>
        <v/>
      </c>
      <c r="F159" s="38" t="str">
        <f aca="true">IF(OR(E159="",H159="☑"),"",E159-TODAY())</f>
        <v/>
      </c>
      <c r="G159" s="32" t="str">
        <f aca="false">IF(H159="☑","Fatto",IF(E159="","",IF(F159&lt;0,"Scaduta",IF(F159&lt;=7,"Questa settimana",IF(F159&lt;=30,"Entro 30 giorni","Più avanti")))))</f>
        <v/>
      </c>
      <c r="H159" s="39"/>
      <c r="I159" s="30"/>
      <c r="J159" s="30"/>
      <c r="K159" s="30"/>
      <c r="L159" s="32" t="n">
        <f aca="false">IF(D159="Ogni mese",1,IF(D159="Ogni 3 mesi",3,IF(D159="Ogni 6 mesi",6,IF(D159="Ogni anno",12,0))))</f>
        <v>0</v>
      </c>
    </row>
    <row r="160" customFormat="false" ht="19.5" hidden="false" customHeight="true" outlineLevel="0" collapsed="false">
      <c r="A160" s="34"/>
      <c r="B160" s="34"/>
      <c r="C160" s="35"/>
      <c r="D160" s="34"/>
      <c r="E160" s="37" t="str">
        <f aca="true">IF(C160="","",IF(OR(L160=0,C160&gt;=TODAY()),C160,IF(EDATE(C160,INT(((YEAR(TODAY())-YEAR(C160))*12+MONTH(TODAY())-MONTH(C160))/L160)*L160)&gt;=TODAY(),EDATE(C160,INT(((YEAR(TODAY())-YEAR(C160))*12+MONTH(TODAY())-MONTH(C160))/L160)*L160),EDATE(C160,(INT(((YEAR(TODAY())-YEAR(C160))*12+MONTH(TODAY())-MONTH(C160))/L160)+1)*L160))))</f>
        <v/>
      </c>
      <c r="F160" s="38" t="str">
        <f aca="true">IF(OR(E160="",H160="☑"),"",E160-TODAY())</f>
        <v/>
      </c>
      <c r="G160" s="32" t="str">
        <f aca="false">IF(H160="☑","Fatto",IF(E160="","",IF(F160&lt;0,"Scaduta",IF(F160&lt;=7,"Questa settimana",IF(F160&lt;=30,"Entro 30 giorni","Più avanti")))))</f>
        <v/>
      </c>
      <c r="H160" s="40"/>
      <c r="I160" s="34"/>
      <c r="J160" s="34"/>
      <c r="K160" s="34"/>
      <c r="L160" s="32" t="n">
        <f aca="false">IF(D160="Ogni mese",1,IF(D160="Ogni 3 mesi",3,IF(D160="Ogni 6 mesi",6,IF(D160="Ogni anno",12,0))))</f>
        <v>0</v>
      </c>
    </row>
    <row r="161" customFormat="false" ht="19.5" hidden="false" customHeight="true" outlineLevel="0" collapsed="false">
      <c r="A161" s="30"/>
      <c r="B161" s="30"/>
      <c r="C161" s="31"/>
      <c r="D161" s="30"/>
      <c r="E161" s="37" t="str">
        <f aca="true">IF(C161="","",IF(OR(L161=0,C161&gt;=TODAY()),C161,IF(EDATE(C161,INT(((YEAR(TODAY())-YEAR(C161))*12+MONTH(TODAY())-MONTH(C161))/L161)*L161)&gt;=TODAY(),EDATE(C161,INT(((YEAR(TODAY())-YEAR(C161))*12+MONTH(TODAY())-MONTH(C161))/L161)*L161),EDATE(C161,(INT(((YEAR(TODAY())-YEAR(C161))*12+MONTH(TODAY())-MONTH(C161))/L161)+1)*L161))))</f>
        <v/>
      </c>
      <c r="F161" s="38" t="str">
        <f aca="true">IF(OR(E161="",H161="☑"),"",E161-TODAY())</f>
        <v/>
      </c>
      <c r="G161" s="32" t="str">
        <f aca="false">IF(H161="☑","Fatto",IF(E161="","",IF(F161&lt;0,"Scaduta",IF(F161&lt;=7,"Questa settimana",IF(F161&lt;=30,"Entro 30 giorni","Più avanti")))))</f>
        <v/>
      </c>
      <c r="H161" s="39"/>
      <c r="I161" s="30"/>
      <c r="J161" s="30"/>
      <c r="K161" s="30"/>
      <c r="L161" s="32" t="n">
        <f aca="false">IF(D161="Ogni mese",1,IF(D161="Ogni 3 mesi",3,IF(D161="Ogni 6 mesi",6,IF(D161="Ogni anno",12,0))))</f>
        <v>0</v>
      </c>
    </row>
    <row r="162" customFormat="false" ht="19.5" hidden="false" customHeight="true" outlineLevel="0" collapsed="false">
      <c r="A162" s="34"/>
      <c r="B162" s="34"/>
      <c r="C162" s="35"/>
      <c r="D162" s="34"/>
      <c r="E162" s="37" t="str">
        <f aca="true">IF(C162="","",IF(OR(L162=0,C162&gt;=TODAY()),C162,IF(EDATE(C162,INT(((YEAR(TODAY())-YEAR(C162))*12+MONTH(TODAY())-MONTH(C162))/L162)*L162)&gt;=TODAY(),EDATE(C162,INT(((YEAR(TODAY())-YEAR(C162))*12+MONTH(TODAY())-MONTH(C162))/L162)*L162),EDATE(C162,(INT(((YEAR(TODAY())-YEAR(C162))*12+MONTH(TODAY())-MONTH(C162))/L162)+1)*L162))))</f>
        <v/>
      </c>
      <c r="F162" s="38" t="str">
        <f aca="true">IF(OR(E162="",H162="☑"),"",E162-TODAY())</f>
        <v/>
      </c>
      <c r="G162" s="32" t="str">
        <f aca="false">IF(H162="☑","Fatto",IF(E162="","",IF(F162&lt;0,"Scaduta",IF(F162&lt;=7,"Questa settimana",IF(F162&lt;=30,"Entro 30 giorni","Più avanti")))))</f>
        <v/>
      </c>
      <c r="H162" s="40"/>
      <c r="I162" s="34"/>
      <c r="J162" s="34"/>
      <c r="K162" s="34"/>
      <c r="L162" s="32" t="n">
        <f aca="false">IF(D162="Ogni mese",1,IF(D162="Ogni 3 mesi",3,IF(D162="Ogni 6 mesi",6,IF(D162="Ogni anno",12,0))))</f>
        <v>0</v>
      </c>
    </row>
    <row r="163" customFormat="false" ht="19.5" hidden="false" customHeight="true" outlineLevel="0" collapsed="false">
      <c r="A163" s="30"/>
      <c r="B163" s="30"/>
      <c r="C163" s="31"/>
      <c r="D163" s="30"/>
      <c r="E163" s="37" t="str">
        <f aca="true">IF(C163="","",IF(OR(L163=0,C163&gt;=TODAY()),C163,IF(EDATE(C163,INT(((YEAR(TODAY())-YEAR(C163))*12+MONTH(TODAY())-MONTH(C163))/L163)*L163)&gt;=TODAY(),EDATE(C163,INT(((YEAR(TODAY())-YEAR(C163))*12+MONTH(TODAY())-MONTH(C163))/L163)*L163),EDATE(C163,(INT(((YEAR(TODAY())-YEAR(C163))*12+MONTH(TODAY())-MONTH(C163))/L163)+1)*L163))))</f>
        <v/>
      </c>
      <c r="F163" s="38" t="str">
        <f aca="true">IF(OR(E163="",H163="☑"),"",E163-TODAY())</f>
        <v/>
      </c>
      <c r="G163" s="32" t="str">
        <f aca="false">IF(H163="☑","Fatto",IF(E163="","",IF(F163&lt;0,"Scaduta",IF(F163&lt;=7,"Questa settimana",IF(F163&lt;=30,"Entro 30 giorni","Più avanti")))))</f>
        <v/>
      </c>
      <c r="H163" s="39"/>
      <c r="I163" s="30"/>
      <c r="J163" s="30"/>
      <c r="K163" s="30"/>
      <c r="L163" s="32" t="n">
        <f aca="false">IF(D163="Ogni mese",1,IF(D163="Ogni 3 mesi",3,IF(D163="Ogni 6 mesi",6,IF(D163="Ogni anno",12,0))))</f>
        <v>0</v>
      </c>
    </row>
    <row r="164" customFormat="false" ht="19.5" hidden="false" customHeight="true" outlineLevel="0" collapsed="false">
      <c r="A164" s="34"/>
      <c r="B164" s="34"/>
      <c r="C164" s="35"/>
      <c r="D164" s="34"/>
      <c r="E164" s="37" t="str">
        <f aca="true">IF(C164="","",IF(OR(L164=0,C164&gt;=TODAY()),C164,IF(EDATE(C164,INT(((YEAR(TODAY())-YEAR(C164))*12+MONTH(TODAY())-MONTH(C164))/L164)*L164)&gt;=TODAY(),EDATE(C164,INT(((YEAR(TODAY())-YEAR(C164))*12+MONTH(TODAY())-MONTH(C164))/L164)*L164),EDATE(C164,(INT(((YEAR(TODAY())-YEAR(C164))*12+MONTH(TODAY())-MONTH(C164))/L164)+1)*L164))))</f>
        <v/>
      </c>
      <c r="F164" s="38" t="str">
        <f aca="true">IF(OR(E164="",H164="☑"),"",E164-TODAY())</f>
        <v/>
      </c>
      <c r="G164" s="32" t="str">
        <f aca="false">IF(H164="☑","Fatto",IF(E164="","",IF(F164&lt;0,"Scaduta",IF(F164&lt;=7,"Questa settimana",IF(F164&lt;=30,"Entro 30 giorni","Più avanti")))))</f>
        <v/>
      </c>
      <c r="H164" s="40"/>
      <c r="I164" s="34"/>
      <c r="J164" s="34"/>
      <c r="K164" s="34"/>
      <c r="L164" s="32" t="n">
        <f aca="false">IF(D164="Ogni mese",1,IF(D164="Ogni 3 mesi",3,IF(D164="Ogni 6 mesi",6,IF(D164="Ogni anno",12,0))))</f>
        <v>0</v>
      </c>
    </row>
    <row r="165" customFormat="false" ht="19.5" hidden="false" customHeight="true" outlineLevel="0" collapsed="false">
      <c r="A165" s="30"/>
      <c r="B165" s="30"/>
      <c r="C165" s="31"/>
      <c r="D165" s="30"/>
      <c r="E165" s="37" t="str">
        <f aca="true">IF(C165="","",IF(OR(L165=0,C165&gt;=TODAY()),C165,IF(EDATE(C165,INT(((YEAR(TODAY())-YEAR(C165))*12+MONTH(TODAY())-MONTH(C165))/L165)*L165)&gt;=TODAY(),EDATE(C165,INT(((YEAR(TODAY())-YEAR(C165))*12+MONTH(TODAY())-MONTH(C165))/L165)*L165),EDATE(C165,(INT(((YEAR(TODAY())-YEAR(C165))*12+MONTH(TODAY())-MONTH(C165))/L165)+1)*L165))))</f>
        <v/>
      </c>
      <c r="F165" s="38" t="str">
        <f aca="true">IF(OR(E165="",H165="☑"),"",E165-TODAY())</f>
        <v/>
      </c>
      <c r="G165" s="32" t="str">
        <f aca="false">IF(H165="☑","Fatto",IF(E165="","",IF(F165&lt;0,"Scaduta",IF(F165&lt;=7,"Questa settimana",IF(F165&lt;=30,"Entro 30 giorni","Più avanti")))))</f>
        <v/>
      </c>
      <c r="H165" s="39"/>
      <c r="I165" s="30"/>
      <c r="J165" s="30"/>
      <c r="K165" s="30"/>
      <c r="L165" s="32" t="n">
        <f aca="false">IF(D165="Ogni mese",1,IF(D165="Ogni 3 mesi",3,IF(D165="Ogni 6 mesi",6,IF(D165="Ogni anno",12,0))))</f>
        <v>0</v>
      </c>
    </row>
    <row r="166" customFormat="false" ht="19.5" hidden="false" customHeight="true" outlineLevel="0" collapsed="false">
      <c r="A166" s="34"/>
      <c r="B166" s="34"/>
      <c r="C166" s="35"/>
      <c r="D166" s="34"/>
      <c r="E166" s="37" t="str">
        <f aca="true">IF(C166="","",IF(OR(L166=0,C166&gt;=TODAY()),C166,IF(EDATE(C166,INT(((YEAR(TODAY())-YEAR(C166))*12+MONTH(TODAY())-MONTH(C166))/L166)*L166)&gt;=TODAY(),EDATE(C166,INT(((YEAR(TODAY())-YEAR(C166))*12+MONTH(TODAY())-MONTH(C166))/L166)*L166),EDATE(C166,(INT(((YEAR(TODAY())-YEAR(C166))*12+MONTH(TODAY())-MONTH(C166))/L166)+1)*L166))))</f>
        <v/>
      </c>
      <c r="F166" s="38" t="str">
        <f aca="true">IF(OR(E166="",H166="☑"),"",E166-TODAY())</f>
        <v/>
      </c>
      <c r="G166" s="32" t="str">
        <f aca="false">IF(H166="☑","Fatto",IF(E166="","",IF(F166&lt;0,"Scaduta",IF(F166&lt;=7,"Questa settimana",IF(F166&lt;=30,"Entro 30 giorni","Più avanti")))))</f>
        <v/>
      </c>
      <c r="H166" s="40"/>
      <c r="I166" s="34"/>
      <c r="J166" s="34"/>
      <c r="K166" s="34"/>
      <c r="L166" s="32" t="n">
        <f aca="false">IF(D166="Ogni mese",1,IF(D166="Ogni 3 mesi",3,IF(D166="Ogni 6 mesi",6,IF(D166="Ogni anno",12,0))))</f>
        <v>0</v>
      </c>
    </row>
    <row r="167" customFormat="false" ht="19.5" hidden="false" customHeight="true" outlineLevel="0" collapsed="false">
      <c r="A167" s="30"/>
      <c r="B167" s="30"/>
      <c r="C167" s="31"/>
      <c r="D167" s="30"/>
      <c r="E167" s="37" t="str">
        <f aca="true">IF(C167="","",IF(OR(L167=0,C167&gt;=TODAY()),C167,IF(EDATE(C167,INT(((YEAR(TODAY())-YEAR(C167))*12+MONTH(TODAY())-MONTH(C167))/L167)*L167)&gt;=TODAY(),EDATE(C167,INT(((YEAR(TODAY())-YEAR(C167))*12+MONTH(TODAY())-MONTH(C167))/L167)*L167),EDATE(C167,(INT(((YEAR(TODAY())-YEAR(C167))*12+MONTH(TODAY())-MONTH(C167))/L167)+1)*L167))))</f>
        <v/>
      </c>
      <c r="F167" s="38" t="str">
        <f aca="true">IF(OR(E167="",H167="☑"),"",E167-TODAY())</f>
        <v/>
      </c>
      <c r="G167" s="32" t="str">
        <f aca="false">IF(H167="☑","Fatto",IF(E167="","",IF(F167&lt;0,"Scaduta",IF(F167&lt;=7,"Questa settimana",IF(F167&lt;=30,"Entro 30 giorni","Più avanti")))))</f>
        <v/>
      </c>
      <c r="H167" s="39"/>
      <c r="I167" s="30"/>
      <c r="J167" s="30"/>
      <c r="K167" s="30"/>
      <c r="L167" s="32" t="n">
        <f aca="false">IF(D167="Ogni mese",1,IF(D167="Ogni 3 mesi",3,IF(D167="Ogni 6 mesi",6,IF(D167="Ogni anno",12,0))))</f>
        <v>0</v>
      </c>
    </row>
    <row r="168" customFormat="false" ht="19.5" hidden="false" customHeight="true" outlineLevel="0" collapsed="false">
      <c r="A168" s="34"/>
      <c r="B168" s="34"/>
      <c r="C168" s="35"/>
      <c r="D168" s="34"/>
      <c r="E168" s="37" t="str">
        <f aca="true">IF(C168="","",IF(OR(L168=0,C168&gt;=TODAY()),C168,IF(EDATE(C168,INT(((YEAR(TODAY())-YEAR(C168))*12+MONTH(TODAY())-MONTH(C168))/L168)*L168)&gt;=TODAY(),EDATE(C168,INT(((YEAR(TODAY())-YEAR(C168))*12+MONTH(TODAY())-MONTH(C168))/L168)*L168),EDATE(C168,(INT(((YEAR(TODAY())-YEAR(C168))*12+MONTH(TODAY())-MONTH(C168))/L168)+1)*L168))))</f>
        <v/>
      </c>
      <c r="F168" s="38" t="str">
        <f aca="true">IF(OR(E168="",H168="☑"),"",E168-TODAY())</f>
        <v/>
      </c>
      <c r="G168" s="32" t="str">
        <f aca="false">IF(H168="☑","Fatto",IF(E168="","",IF(F168&lt;0,"Scaduta",IF(F168&lt;=7,"Questa settimana",IF(F168&lt;=30,"Entro 30 giorni","Più avanti")))))</f>
        <v/>
      </c>
      <c r="H168" s="40"/>
      <c r="I168" s="34"/>
      <c r="J168" s="34"/>
      <c r="K168" s="34"/>
      <c r="L168" s="32" t="n">
        <f aca="false">IF(D168="Ogni mese",1,IF(D168="Ogni 3 mesi",3,IF(D168="Ogni 6 mesi",6,IF(D168="Ogni anno",12,0))))</f>
        <v>0</v>
      </c>
    </row>
    <row r="169" customFormat="false" ht="19.5" hidden="false" customHeight="true" outlineLevel="0" collapsed="false">
      <c r="A169" s="30"/>
      <c r="B169" s="30"/>
      <c r="C169" s="31"/>
      <c r="D169" s="30"/>
      <c r="E169" s="37" t="str">
        <f aca="true">IF(C169="","",IF(OR(L169=0,C169&gt;=TODAY()),C169,IF(EDATE(C169,INT(((YEAR(TODAY())-YEAR(C169))*12+MONTH(TODAY())-MONTH(C169))/L169)*L169)&gt;=TODAY(),EDATE(C169,INT(((YEAR(TODAY())-YEAR(C169))*12+MONTH(TODAY())-MONTH(C169))/L169)*L169),EDATE(C169,(INT(((YEAR(TODAY())-YEAR(C169))*12+MONTH(TODAY())-MONTH(C169))/L169)+1)*L169))))</f>
        <v/>
      </c>
      <c r="F169" s="38" t="str">
        <f aca="true">IF(OR(E169="",H169="☑"),"",E169-TODAY())</f>
        <v/>
      </c>
      <c r="G169" s="32" t="str">
        <f aca="false">IF(H169="☑","Fatto",IF(E169="","",IF(F169&lt;0,"Scaduta",IF(F169&lt;=7,"Questa settimana",IF(F169&lt;=30,"Entro 30 giorni","Più avanti")))))</f>
        <v/>
      </c>
      <c r="H169" s="39"/>
      <c r="I169" s="30"/>
      <c r="J169" s="30"/>
      <c r="K169" s="30"/>
      <c r="L169" s="32" t="n">
        <f aca="false">IF(D169="Ogni mese",1,IF(D169="Ogni 3 mesi",3,IF(D169="Ogni 6 mesi",6,IF(D169="Ogni anno",12,0))))</f>
        <v>0</v>
      </c>
    </row>
    <row r="170" customFormat="false" ht="19.5" hidden="false" customHeight="true" outlineLevel="0" collapsed="false">
      <c r="A170" s="34"/>
      <c r="B170" s="34"/>
      <c r="C170" s="35"/>
      <c r="D170" s="34"/>
      <c r="E170" s="37" t="str">
        <f aca="true">IF(C170="","",IF(OR(L170=0,C170&gt;=TODAY()),C170,IF(EDATE(C170,INT(((YEAR(TODAY())-YEAR(C170))*12+MONTH(TODAY())-MONTH(C170))/L170)*L170)&gt;=TODAY(),EDATE(C170,INT(((YEAR(TODAY())-YEAR(C170))*12+MONTH(TODAY())-MONTH(C170))/L170)*L170),EDATE(C170,(INT(((YEAR(TODAY())-YEAR(C170))*12+MONTH(TODAY())-MONTH(C170))/L170)+1)*L170))))</f>
        <v/>
      </c>
      <c r="F170" s="38" t="str">
        <f aca="true">IF(OR(E170="",H170="☑"),"",E170-TODAY())</f>
        <v/>
      </c>
      <c r="G170" s="32" t="str">
        <f aca="false">IF(H170="☑","Fatto",IF(E170="","",IF(F170&lt;0,"Scaduta",IF(F170&lt;=7,"Questa settimana",IF(F170&lt;=30,"Entro 30 giorni","Più avanti")))))</f>
        <v/>
      </c>
      <c r="H170" s="40"/>
      <c r="I170" s="34"/>
      <c r="J170" s="34"/>
      <c r="K170" s="34"/>
      <c r="L170" s="32" t="n">
        <f aca="false">IF(D170="Ogni mese",1,IF(D170="Ogni 3 mesi",3,IF(D170="Ogni 6 mesi",6,IF(D170="Ogni anno",12,0))))</f>
        <v>0</v>
      </c>
    </row>
    <row r="171" customFormat="false" ht="19.5" hidden="false" customHeight="true" outlineLevel="0" collapsed="false">
      <c r="A171" s="30"/>
      <c r="B171" s="30"/>
      <c r="C171" s="31"/>
      <c r="D171" s="30"/>
      <c r="E171" s="37" t="str">
        <f aca="true">IF(C171="","",IF(OR(L171=0,C171&gt;=TODAY()),C171,IF(EDATE(C171,INT(((YEAR(TODAY())-YEAR(C171))*12+MONTH(TODAY())-MONTH(C171))/L171)*L171)&gt;=TODAY(),EDATE(C171,INT(((YEAR(TODAY())-YEAR(C171))*12+MONTH(TODAY())-MONTH(C171))/L171)*L171),EDATE(C171,(INT(((YEAR(TODAY())-YEAR(C171))*12+MONTH(TODAY())-MONTH(C171))/L171)+1)*L171))))</f>
        <v/>
      </c>
      <c r="F171" s="38" t="str">
        <f aca="true">IF(OR(E171="",H171="☑"),"",E171-TODAY())</f>
        <v/>
      </c>
      <c r="G171" s="32" t="str">
        <f aca="false">IF(H171="☑","Fatto",IF(E171="","",IF(F171&lt;0,"Scaduta",IF(F171&lt;=7,"Questa settimana",IF(F171&lt;=30,"Entro 30 giorni","Più avanti")))))</f>
        <v/>
      </c>
      <c r="H171" s="39"/>
      <c r="I171" s="30"/>
      <c r="J171" s="30"/>
      <c r="K171" s="30"/>
      <c r="L171" s="32" t="n">
        <f aca="false">IF(D171="Ogni mese",1,IF(D171="Ogni 3 mesi",3,IF(D171="Ogni 6 mesi",6,IF(D171="Ogni anno",12,0))))</f>
        <v>0</v>
      </c>
    </row>
    <row r="172" customFormat="false" ht="19.5" hidden="false" customHeight="true" outlineLevel="0" collapsed="false">
      <c r="A172" s="34"/>
      <c r="B172" s="34"/>
      <c r="C172" s="35"/>
      <c r="D172" s="34"/>
      <c r="E172" s="37" t="str">
        <f aca="true">IF(C172="","",IF(OR(L172=0,C172&gt;=TODAY()),C172,IF(EDATE(C172,INT(((YEAR(TODAY())-YEAR(C172))*12+MONTH(TODAY())-MONTH(C172))/L172)*L172)&gt;=TODAY(),EDATE(C172,INT(((YEAR(TODAY())-YEAR(C172))*12+MONTH(TODAY())-MONTH(C172))/L172)*L172),EDATE(C172,(INT(((YEAR(TODAY())-YEAR(C172))*12+MONTH(TODAY())-MONTH(C172))/L172)+1)*L172))))</f>
        <v/>
      </c>
      <c r="F172" s="38" t="str">
        <f aca="true">IF(OR(E172="",H172="☑"),"",E172-TODAY())</f>
        <v/>
      </c>
      <c r="G172" s="32" t="str">
        <f aca="false">IF(H172="☑","Fatto",IF(E172="","",IF(F172&lt;0,"Scaduta",IF(F172&lt;=7,"Questa settimana",IF(F172&lt;=30,"Entro 30 giorni","Più avanti")))))</f>
        <v/>
      </c>
      <c r="H172" s="40"/>
      <c r="I172" s="34"/>
      <c r="J172" s="34"/>
      <c r="K172" s="34"/>
      <c r="L172" s="32" t="n">
        <f aca="false">IF(D172="Ogni mese",1,IF(D172="Ogni 3 mesi",3,IF(D172="Ogni 6 mesi",6,IF(D172="Ogni anno",12,0))))</f>
        <v>0</v>
      </c>
    </row>
    <row r="173" customFormat="false" ht="19.5" hidden="false" customHeight="true" outlineLevel="0" collapsed="false">
      <c r="A173" s="30"/>
      <c r="B173" s="30"/>
      <c r="C173" s="31"/>
      <c r="D173" s="30"/>
      <c r="E173" s="37" t="str">
        <f aca="true">IF(C173="","",IF(OR(L173=0,C173&gt;=TODAY()),C173,IF(EDATE(C173,INT(((YEAR(TODAY())-YEAR(C173))*12+MONTH(TODAY())-MONTH(C173))/L173)*L173)&gt;=TODAY(),EDATE(C173,INT(((YEAR(TODAY())-YEAR(C173))*12+MONTH(TODAY())-MONTH(C173))/L173)*L173),EDATE(C173,(INT(((YEAR(TODAY())-YEAR(C173))*12+MONTH(TODAY())-MONTH(C173))/L173)+1)*L173))))</f>
        <v/>
      </c>
      <c r="F173" s="38" t="str">
        <f aca="true">IF(OR(E173="",H173="☑"),"",E173-TODAY())</f>
        <v/>
      </c>
      <c r="G173" s="32" t="str">
        <f aca="false">IF(H173="☑","Fatto",IF(E173="","",IF(F173&lt;0,"Scaduta",IF(F173&lt;=7,"Questa settimana",IF(F173&lt;=30,"Entro 30 giorni","Più avanti")))))</f>
        <v/>
      </c>
      <c r="H173" s="39"/>
      <c r="I173" s="30"/>
      <c r="J173" s="30"/>
      <c r="K173" s="30"/>
      <c r="L173" s="32" t="n">
        <f aca="false">IF(D173="Ogni mese",1,IF(D173="Ogni 3 mesi",3,IF(D173="Ogni 6 mesi",6,IF(D173="Ogni anno",12,0))))</f>
        <v>0</v>
      </c>
    </row>
    <row r="174" customFormat="false" ht="19.5" hidden="false" customHeight="true" outlineLevel="0" collapsed="false">
      <c r="A174" s="34"/>
      <c r="B174" s="34"/>
      <c r="C174" s="35"/>
      <c r="D174" s="34"/>
      <c r="E174" s="37" t="str">
        <f aca="true">IF(C174="","",IF(OR(L174=0,C174&gt;=TODAY()),C174,IF(EDATE(C174,INT(((YEAR(TODAY())-YEAR(C174))*12+MONTH(TODAY())-MONTH(C174))/L174)*L174)&gt;=TODAY(),EDATE(C174,INT(((YEAR(TODAY())-YEAR(C174))*12+MONTH(TODAY())-MONTH(C174))/L174)*L174),EDATE(C174,(INT(((YEAR(TODAY())-YEAR(C174))*12+MONTH(TODAY())-MONTH(C174))/L174)+1)*L174))))</f>
        <v/>
      </c>
      <c r="F174" s="38" t="str">
        <f aca="true">IF(OR(E174="",H174="☑"),"",E174-TODAY())</f>
        <v/>
      </c>
      <c r="G174" s="32" t="str">
        <f aca="false">IF(H174="☑","Fatto",IF(E174="","",IF(F174&lt;0,"Scaduta",IF(F174&lt;=7,"Questa settimana",IF(F174&lt;=30,"Entro 30 giorni","Più avanti")))))</f>
        <v/>
      </c>
      <c r="H174" s="40"/>
      <c r="I174" s="34"/>
      <c r="J174" s="34"/>
      <c r="K174" s="34"/>
      <c r="L174" s="32" t="n">
        <f aca="false">IF(D174="Ogni mese",1,IF(D174="Ogni 3 mesi",3,IF(D174="Ogni 6 mesi",6,IF(D174="Ogni anno",12,0))))</f>
        <v>0</v>
      </c>
    </row>
    <row r="175" customFormat="false" ht="19.5" hidden="false" customHeight="true" outlineLevel="0" collapsed="false">
      <c r="A175" s="30"/>
      <c r="B175" s="30"/>
      <c r="C175" s="31"/>
      <c r="D175" s="30"/>
      <c r="E175" s="37" t="str">
        <f aca="true">IF(C175="","",IF(OR(L175=0,C175&gt;=TODAY()),C175,IF(EDATE(C175,INT(((YEAR(TODAY())-YEAR(C175))*12+MONTH(TODAY())-MONTH(C175))/L175)*L175)&gt;=TODAY(),EDATE(C175,INT(((YEAR(TODAY())-YEAR(C175))*12+MONTH(TODAY())-MONTH(C175))/L175)*L175),EDATE(C175,(INT(((YEAR(TODAY())-YEAR(C175))*12+MONTH(TODAY())-MONTH(C175))/L175)+1)*L175))))</f>
        <v/>
      </c>
      <c r="F175" s="38" t="str">
        <f aca="true">IF(OR(E175="",H175="☑"),"",E175-TODAY())</f>
        <v/>
      </c>
      <c r="G175" s="32" t="str">
        <f aca="false">IF(H175="☑","Fatto",IF(E175="","",IF(F175&lt;0,"Scaduta",IF(F175&lt;=7,"Questa settimana",IF(F175&lt;=30,"Entro 30 giorni","Più avanti")))))</f>
        <v/>
      </c>
      <c r="H175" s="39"/>
      <c r="I175" s="30"/>
      <c r="J175" s="30"/>
      <c r="K175" s="30"/>
      <c r="L175" s="32" t="n">
        <f aca="false">IF(D175="Ogni mese",1,IF(D175="Ogni 3 mesi",3,IF(D175="Ogni 6 mesi",6,IF(D175="Ogni anno",12,0))))</f>
        <v>0</v>
      </c>
    </row>
    <row r="176" customFormat="false" ht="19.5" hidden="false" customHeight="true" outlineLevel="0" collapsed="false">
      <c r="A176" s="34"/>
      <c r="B176" s="34"/>
      <c r="C176" s="35"/>
      <c r="D176" s="34"/>
      <c r="E176" s="37" t="str">
        <f aca="true">IF(C176="","",IF(OR(L176=0,C176&gt;=TODAY()),C176,IF(EDATE(C176,INT(((YEAR(TODAY())-YEAR(C176))*12+MONTH(TODAY())-MONTH(C176))/L176)*L176)&gt;=TODAY(),EDATE(C176,INT(((YEAR(TODAY())-YEAR(C176))*12+MONTH(TODAY())-MONTH(C176))/L176)*L176),EDATE(C176,(INT(((YEAR(TODAY())-YEAR(C176))*12+MONTH(TODAY())-MONTH(C176))/L176)+1)*L176))))</f>
        <v/>
      </c>
      <c r="F176" s="38" t="str">
        <f aca="true">IF(OR(E176="",H176="☑"),"",E176-TODAY())</f>
        <v/>
      </c>
      <c r="G176" s="32" t="str">
        <f aca="false">IF(H176="☑","Fatto",IF(E176="","",IF(F176&lt;0,"Scaduta",IF(F176&lt;=7,"Questa settimana",IF(F176&lt;=30,"Entro 30 giorni","Più avanti")))))</f>
        <v/>
      </c>
      <c r="H176" s="40"/>
      <c r="I176" s="34"/>
      <c r="J176" s="34"/>
      <c r="K176" s="34"/>
      <c r="L176" s="32" t="n">
        <f aca="false">IF(D176="Ogni mese",1,IF(D176="Ogni 3 mesi",3,IF(D176="Ogni 6 mesi",6,IF(D176="Ogni anno",12,0))))</f>
        <v>0</v>
      </c>
    </row>
    <row r="177" customFormat="false" ht="19.5" hidden="false" customHeight="true" outlineLevel="0" collapsed="false">
      <c r="A177" s="30"/>
      <c r="B177" s="30"/>
      <c r="C177" s="31"/>
      <c r="D177" s="30"/>
      <c r="E177" s="37" t="str">
        <f aca="true">IF(C177="","",IF(OR(L177=0,C177&gt;=TODAY()),C177,IF(EDATE(C177,INT(((YEAR(TODAY())-YEAR(C177))*12+MONTH(TODAY())-MONTH(C177))/L177)*L177)&gt;=TODAY(),EDATE(C177,INT(((YEAR(TODAY())-YEAR(C177))*12+MONTH(TODAY())-MONTH(C177))/L177)*L177),EDATE(C177,(INT(((YEAR(TODAY())-YEAR(C177))*12+MONTH(TODAY())-MONTH(C177))/L177)+1)*L177))))</f>
        <v/>
      </c>
      <c r="F177" s="38" t="str">
        <f aca="true">IF(OR(E177="",H177="☑"),"",E177-TODAY())</f>
        <v/>
      </c>
      <c r="G177" s="32" t="str">
        <f aca="false">IF(H177="☑","Fatto",IF(E177="","",IF(F177&lt;0,"Scaduta",IF(F177&lt;=7,"Questa settimana",IF(F177&lt;=30,"Entro 30 giorni","Più avanti")))))</f>
        <v/>
      </c>
      <c r="H177" s="39"/>
      <c r="I177" s="30"/>
      <c r="J177" s="30"/>
      <c r="K177" s="30"/>
      <c r="L177" s="32" t="n">
        <f aca="false">IF(D177="Ogni mese",1,IF(D177="Ogni 3 mesi",3,IF(D177="Ogni 6 mesi",6,IF(D177="Ogni anno",12,0))))</f>
        <v>0</v>
      </c>
    </row>
    <row r="178" customFormat="false" ht="19.5" hidden="false" customHeight="true" outlineLevel="0" collapsed="false">
      <c r="A178" s="34"/>
      <c r="B178" s="34"/>
      <c r="C178" s="35"/>
      <c r="D178" s="34"/>
      <c r="E178" s="37" t="str">
        <f aca="true">IF(C178="","",IF(OR(L178=0,C178&gt;=TODAY()),C178,IF(EDATE(C178,INT(((YEAR(TODAY())-YEAR(C178))*12+MONTH(TODAY())-MONTH(C178))/L178)*L178)&gt;=TODAY(),EDATE(C178,INT(((YEAR(TODAY())-YEAR(C178))*12+MONTH(TODAY())-MONTH(C178))/L178)*L178),EDATE(C178,(INT(((YEAR(TODAY())-YEAR(C178))*12+MONTH(TODAY())-MONTH(C178))/L178)+1)*L178))))</f>
        <v/>
      </c>
      <c r="F178" s="38" t="str">
        <f aca="true">IF(OR(E178="",H178="☑"),"",E178-TODAY())</f>
        <v/>
      </c>
      <c r="G178" s="32" t="str">
        <f aca="false">IF(H178="☑","Fatto",IF(E178="","",IF(F178&lt;0,"Scaduta",IF(F178&lt;=7,"Questa settimana",IF(F178&lt;=30,"Entro 30 giorni","Più avanti")))))</f>
        <v/>
      </c>
      <c r="H178" s="40"/>
      <c r="I178" s="34"/>
      <c r="J178" s="34"/>
      <c r="K178" s="34"/>
      <c r="L178" s="32" t="n">
        <f aca="false">IF(D178="Ogni mese",1,IF(D178="Ogni 3 mesi",3,IF(D178="Ogni 6 mesi",6,IF(D178="Ogni anno",12,0))))</f>
        <v>0</v>
      </c>
    </row>
    <row r="179" customFormat="false" ht="19.5" hidden="false" customHeight="true" outlineLevel="0" collapsed="false">
      <c r="A179" s="30"/>
      <c r="B179" s="30"/>
      <c r="C179" s="31"/>
      <c r="D179" s="30"/>
      <c r="E179" s="37" t="str">
        <f aca="true">IF(C179="","",IF(OR(L179=0,C179&gt;=TODAY()),C179,IF(EDATE(C179,INT(((YEAR(TODAY())-YEAR(C179))*12+MONTH(TODAY())-MONTH(C179))/L179)*L179)&gt;=TODAY(),EDATE(C179,INT(((YEAR(TODAY())-YEAR(C179))*12+MONTH(TODAY())-MONTH(C179))/L179)*L179),EDATE(C179,(INT(((YEAR(TODAY())-YEAR(C179))*12+MONTH(TODAY())-MONTH(C179))/L179)+1)*L179))))</f>
        <v/>
      </c>
      <c r="F179" s="38" t="str">
        <f aca="true">IF(OR(E179="",H179="☑"),"",E179-TODAY())</f>
        <v/>
      </c>
      <c r="G179" s="32" t="str">
        <f aca="false">IF(H179="☑","Fatto",IF(E179="","",IF(F179&lt;0,"Scaduta",IF(F179&lt;=7,"Questa settimana",IF(F179&lt;=30,"Entro 30 giorni","Più avanti")))))</f>
        <v/>
      </c>
      <c r="H179" s="39"/>
      <c r="I179" s="30"/>
      <c r="J179" s="30"/>
      <c r="K179" s="30"/>
      <c r="L179" s="32" t="n">
        <f aca="false">IF(D179="Ogni mese",1,IF(D179="Ogni 3 mesi",3,IF(D179="Ogni 6 mesi",6,IF(D179="Ogni anno",12,0))))</f>
        <v>0</v>
      </c>
    </row>
    <row r="180" customFormat="false" ht="19.5" hidden="false" customHeight="true" outlineLevel="0" collapsed="false">
      <c r="A180" s="34"/>
      <c r="B180" s="34"/>
      <c r="C180" s="35"/>
      <c r="D180" s="34"/>
      <c r="E180" s="37" t="str">
        <f aca="true">IF(C180="","",IF(OR(L180=0,C180&gt;=TODAY()),C180,IF(EDATE(C180,INT(((YEAR(TODAY())-YEAR(C180))*12+MONTH(TODAY())-MONTH(C180))/L180)*L180)&gt;=TODAY(),EDATE(C180,INT(((YEAR(TODAY())-YEAR(C180))*12+MONTH(TODAY())-MONTH(C180))/L180)*L180),EDATE(C180,(INT(((YEAR(TODAY())-YEAR(C180))*12+MONTH(TODAY())-MONTH(C180))/L180)+1)*L180))))</f>
        <v/>
      </c>
      <c r="F180" s="38" t="str">
        <f aca="true">IF(OR(E180="",H180="☑"),"",E180-TODAY())</f>
        <v/>
      </c>
      <c r="G180" s="32" t="str">
        <f aca="false">IF(H180="☑","Fatto",IF(E180="","",IF(F180&lt;0,"Scaduta",IF(F180&lt;=7,"Questa settimana",IF(F180&lt;=30,"Entro 30 giorni","Più avanti")))))</f>
        <v/>
      </c>
      <c r="H180" s="40"/>
      <c r="I180" s="34"/>
      <c r="J180" s="34"/>
      <c r="K180" s="34"/>
      <c r="L180" s="32" t="n">
        <f aca="false">IF(D180="Ogni mese",1,IF(D180="Ogni 3 mesi",3,IF(D180="Ogni 6 mesi",6,IF(D180="Ogni anno",12,0))))</f>
        <v>0</v>
      </c>
    </row>
    <row r="181" customFormat="false" ht="19.5" hidden="false" customHeight="true" outlineLevel="0" collapsed="false">
      <c r="A181" s="30"/>
      <c r="B181" s="30"/>
      <c r="C181" s="31"/>
      <c r="D181" s="30"/>
      <c r="E181" s="37" t="str">
        <f aca="true">IF(C181="","",IF(OR(L181=0,C181&gt;=TODAY()),C181,IF(EDATE(C181,INT(((YEAR(TODAY())-YEAR(C181))*12+MONTH(TODAY())-MONTH(C181))/L181)*L181)&gt;=TODAY(),EDATE(C181,INT(((YEAR(TODAY())-YEAR(C181))*12+MONTH(TODAY())-MONTH(C181))/L181)*L181),EDATE(C181,(INT(((YEAR(TODAY())-YEAR(C181))*12+MONTH(TODAY())-MONTH(C181))/L181)+1)*L181))))</f>
        <v/>
      </c>
      <c r="F181" s="38" t="str">
        <f aca="true">IF(OR(E181="",H181="☑"),"",E181-TODAY())</f>
        <v/>
      </c>
      <c r="G181" s="32" t="str">
        <f aca="false">IF(H181="☑","Fatto",IF(E181="","",IF(F181&lt;0,"Scaduta",IF(F181&lt;=7,"Questa settimana",IF(F181&lt;=30,"Entro 30 giorni","Più avanti")))))</f>
        <v/>
      </c>
      <c r="H181" s="39"/>
      <c r="I181" s="30"/>
      <c r="J181" s="30"/>
      <c r="K181" s="30"/>
      <c r="L181" s="32" t="n">
        <f aca="false">IF(D181="Ogni mese",1,IF(D181="Ogni 3 mesi",3,IF(D181="Ogni 6 mesi",6,IF(D181="Ogni anno",12,0))))</f>
        <v>0</v>
      </c>
    </row>
    <row r="182" customFormat="false" ht="19.5" hidden="false" customHeight="true" outlineLevel="0" collapsed="false">
      <c r="A182" s="34"/>
      <c r="B182" s="34"/>
      <c r="C182" s="35"/>
      <c r="D182" s="34"/>
      <c r="E182" s="37" t="str">
        <f aca="true">IF(C182="","",IF(OR(L182=0,C182&gt;=TODAY()),C182,IF(EDATE(C182,INT(((YEAR(TODAY())-YEAR(C182))*12+MONTH(TODAY())-MONTH(C182))/L182)*L182)&gt;=TODAY(),EDATE(C182,INT(((YEAR(TODAY())-YEAR(C182))*12+MONTH(TODAY())-MONTH(C182))/L182)*L182),EDATE(C182,(INT(((YEAR(TODAY())-YEAR(C182))*12+MONTH(TODAY())-MONTH(C182))/L182)+1)*L182))))</f>
        <v/>
      </c>
      <c r="F182" s="38" t="str">
        <f aca="true">IF(OR(E182="",H182="☑"),"",E182-TODAY())</f>
        <v/>
      </c>
      <c r="G182" s="32" t="str">
        <f aca="false">IF(H182="☑","Fatto",IF(E182="","",IF(F182&lt;0,"Scaduta",IF(F182&lt;=7,"Questa settimana",IF(F182&lt;=30,"Entro 30 giorni","Più avanti")))))</f>
        <v/>
      </c>
      <c r="H182" s="40"/>
      <c r="I182" s="34"/>
      <c r="J182" s="34"/>
      <c r="K182" s="34"/>
      <c r="L182" s="32" t="n">
        <f aca="false">IF(D182="Ogni mese",1,IF(D182="Ogni 3 mesi",3,IF(D182="Ogni 6 mesi",6,IF(D182="Ogni anno",12,0))))</f>
        <v>0</v>
      </c>
    </row>
    <row r="183" customFormat="false" ht="19.5" hidden="false" customHeight="true" outlineLevel="0" collapsed="false">
      <c r="A183" s="30"/>
      <c r="B183" s="30"/>
      <c r="C183" s="31"/>
      <c r="D183" s="30"/>
      <c r="E183" s="37" t="str">
        <f aca="true">IF(C183="","",IF(OR(L183=0,C183&gt;=TODAY()),C183,IF(EDATE(C183,INT(((YEAR(TODAY())-YEAR(C183))*12+MONTH(TODAY())-MONTH(C183))/L183)*L183)&gt;=TODAY(),EDATE(C183,INT(((YEAR(TODAY())-YEAR(C183))*12+MONTH(TODAY())-MONTH(C183))/L183)*L183),EDATE(C183,(INT(((YEAR(TODAY())-YEAR(C183))*12+MONTH(TODAY())-MONTH(C183))/L183)+1)*L183))))</f>
        <v/>
      </c>
      <c r="F183" s="38" t="str">
        <f aca="true">IF(OR(E183="",H183="☑"),"",E183-TODAY())</f>
        <v/>
      </c>
      <c r="G183" s="32" t="str">
        <f aca="false">IF(H183="☑","Fatto",IF(E183="","",IF(F183&lt;0,"Scaduta",IF(F183&lt;=7,"Questa settimana",IF(F183&lt;=30,"Entro 30 giorni","Più avanti")))))</f>
        <v/>
      </c>
      <c r="H183" s="39"/>
      <c r="I183" s="30"/>
      <c r="J183" s="30"/>
      <c r="K183" s="30"/>
      <c r="L183" s="32" t="n">
        <f aca="false">IF(D183="Ogni mese",1,IF(D183="Ogni 3 mesi",3,IF(D183="Ogni 6 mesi",6,IF(D183="Ogni anno",12,0))))</f>
        <v>0</v>
      </c>
    </row>
    <row r="184" customFormat="false" ht="19.5" hidden="false" customHeight="true" outlineLevel="0" collapsed="false">
      <c r="A184" s="34"/>
      <c r="B184" s="34"/>
      <c r="C184" s="35"/>
      <c r="D184" s="34"/>
      <c r="E184" s="37" t="str">
        <f aca="true">IF(C184="","",IF(OR(L184=0,C184&gt;=TODAY()),C184,IF(EDATE(C184,INT(((YEAR(TODAY())-YEAR(C184))*12+MONTH(TODAY())-MONTH(C184))/L184)*L184)&gt;=TODAY(),EDATE(C184,INT(((YEAR(TODAY())-YEAR(C184))*12+MONTH(TODAY())-MONTH(C184))/L184)*L184),EDATE(C184,(INT(((YEAR(TODAY())-YEAR(C184))*12+MONTH(TODAY())-MONTH(C184))/L184)+1)*L184))))</f>
        <v/>
      </c>
      <c r="F184" s="38" t="str">
        <f aca="true">IF(OR(E184="",H184="☑"),"",E184-TODAY())</f>
        <v/>
      </c>
      <c r="G184" s="32" t="str">
        <f aca="false">IF(H184="☑","Fatto",IF(E184="","",IF(F184&lt;0,"Scaduta",IF(F184&lt;=7,"Questa settimana",IF(F184&lt;=30,"Entro 30 giorni","Più avanti")))))</f>
        <v/>
      </c>
      <c r="H184" s="40"/>
      <c r="I184" s="34"/>
      <c r="J184" s="34"/>
      <c r="K184" s="34"/>
      <c r="L184" s="32" t="n">
        <f aca="false">IF(D184="Ogni mese",1,IF(D184="Ogni 3 mesi",3,IF(D184="Ogni 6 mesi",6,IF(D184="Ogni anno",12,0))))</f>
        <v>0</v>
      </c>
    </row>
    <row r="185" customFormat="false" ht="19.5" hidden="false" customHeight="true" outlineLevel="0" collapsed="false">
      <c r="A185" s="30"/>
      <c r="B185" s="30"/>
      <c r="C185" s="31"/>
      <c r="D185" s="30"/>
      <c r="E185" s="37" t="str">
        <f aca="true">IF(C185="","",IF(OR(L185=0,C185&gt;=TODAY()),C185,IF(EDATE(C185,INT(((YEAR(TODAY())-YEAR(C185))*12+MONTH(TODAY())-MONTH(C185))/L185)*L185)&gt;=TODAY(),EDATE(C185,INT(((YEAR(TODAY())-YEAR(C185))*12+MONTH(TODAY())-MONTH(C185))/L185)*L185),EDATE(C185,(INT(((YEAR(TODAY())-YEAR(C185))*12+MONTH(TODAY())-MONTH(C185))/L185)+1)*L185))))</f>
        <v/>
      </c>
      <c r="F185" s="38" t="str">
        <f aca="true">IF(OR(E185="",H185="☑"),"",E185-TODAY())</f>
        <v/>
      </c>
      <c r="G185" s="32" t="str">
        <f aca="false">IF(H185="☑","Fatto",IF(E185="","",IF(F185&lt;0,"Scaduta",IF(F185&lt;=7,"Questa settimana",IF(F185&lt;=30,"Entro 30 giorni","Più avanti")))))</f>
        <v/>
      </c>
      <c r="H185" s="39"/>
      <c r="I185" s="30"/>
      <c r="J185" s="30"/>
      <c r="K185" s="30"/>
      <c r="L185" s="32" t="n">
        <f aca="false">IF(D185="Ogni mese",1,IF(D185="Ogni 3 mesi",3,IF(D185="Ogni 6 mesi",6,IF(D185="Ogni anno",12,0))))</f>
        <v>0</v>
      </c>
    </row>
    <row r="186" customFormat="false" ht="19.5" hidden="false" customHeight="true" outlineLevel="0" collapsed="false">
      <c r="A186" s="34"/>
      <c r="B186" s="34"/>
      <c r="C186" s="35"/>
      <c r="D186" s="34"/>
      <c r="E186" s="37" t="str">
        <f aca="true">IF(C186="","",IF(OR(L186=0,C186&gt;=TODAY()),C186,IF(EDATE(C186,INT(((YEAR(TODAY())-YEAR(C186))*12+MONTH(TODAY())-MONTH(C186))/L186)*L186)&gt;=TODAY(),EDATE(C186,INT(((YEAR(TODAY())-YEAR(C186))*12+MONTH(TODAY())-MONTH(C186))/L186)*L186),EDATE(C186,(INT(((YEAR(TODAY())-YEAR(C186))*12+MONTH(TODAY())-MONTH(C186))/L186)+1)*L186))))</f>
        <v/>
      </c>
      <c r="F186" s="38" t="str">
        <f aca="true">IF(OR(E186="",H186="☑"),"",E186-TODAY())</f>
        <v/>
      </c>
      <c r="G186" s="32" t="str">
        <f aca="false">IF(H186="☑","Fatto",IF(E186="","",IF(F186&lt;0,"Scaduta",IF(F186&lt;=7,"Questa settimana",IF(F186&lt;=30,"Entro 30 giorni","Più avanti")))))</f>
        <v/>
      </c>
      <c r="H186" s="40"/>
      <c r="I186" s="34"/>
      <c r="J186" s="34"/>
      <c r="K186" s="34"/>
      <c r="L186" s="32" t="n">
        <f aca="false">IF(D186="Ogni mese",1,IF(D186="Ogni 3 mesi",3,IF(D186="Ogni 6 mesi",6,IF(D186="Ogni anno",12,0))))</f>
        <v>0</v>
      </c>
    </row>
    <row r="187" customFormat="false" ht="19.5" hidden="false" customHeight="true" outlineLevel="0" collapsed="false">
      <c r="A187" s="30"/>
      <c r="B187" s="30"/>
      <c r="C187" s="31"/>
      <c r="D187" s="30"/>
      <c r="E187" s="37" t="str">
        <f aca="true">IF(C187="","",IF(OR(L187=0,C187&gt;=TODAY()),C187,IF(EDATE(C187,INT(((YEAR(TODAY())-YEAR(C187))*12+MONTH(TODAY())-MONTH(C187))/L187)*L187)&gt;=TODAY(),EDATE(C187,INT(((YEAR(TODAY())-YEAR(C187))*12+MONTH(TODAY())-MONTH(C187))/L187)*L187),EDATE(C187,(INT(((YEAR(TODAY())-YEAR(C187))*12+MONTH(TODAY())-MONTH(C187))/L187)+1)*L187))))</f>
        <v/>
      </c>
      <c r="F187" s="38" t="str">
        <f aca="true">IF(OR(E187="",H187="☑"),"",E187-TODAY())</f>
        <v/>
      </c>
      <c r="G187" s="32" t="str">
        <f aca="false">IF(H187="☑","Fatto",IF(E187="","",IF(F187&lt;0,"Scaduta",IF(F187&lt;=7,"Questa settimana",IF(F187&lt;=30,"Entro 30 giorni","Più avanti")))))</f>
        <v/>
      </c>
      <c r="H187" s="39"/>
      <c r="I187" s="30"/>
      <c r="J187" s="30"/>
      <c r="K187" s="30"/>
      <c r="L187" s="32" t="n">
        <f aca="false">IF(D187="Ogni mese",1,IF(D187="Ogni 3 mesi",3,IF(D187="Ogni 6 mesi",6,IF(D187="Ogni anno",12,0))))</f>
        <v>0</v>
      </c>
    </row>
    <row r="188" customFormat="false" ht="19.5" hidden="false" customHeight="true" outlineLevel="0" collapsed="false">
      <c r="A188" s="34"/>
      <c r="B188" s="34"/>
      <c r="C188" s="35"/>
      <c r="D188" s="34"/>
      <c r="E188" s="37" t="str">
        <f aca="true">IF(C188="","",IF(OR(L188=0,C188&gt;=TODAY()),C188,IF(EDATE(C188,INT(((YEAR(TODAY())-YEAR(C188))*12+MONTH(TODAY())-MONTH(C188))/L188)*L188)&gt;=TODAY(),EDATE(C188,INT(((YEAR(TODAY())-YEAR(C188))*12+MONTH(TODAY())-MONTH(C188))/L188)*L188),EDATE(C188,(INT(((YEAR(TODAY())-YEAR(C188))*12+MONTH(TODAY())-MONTH(C188))/L188)+1)*L188))))</f>
        <v/>
      </c>
      <c r="F188" s="38" t="str">
        <f aca="true">IF(OR(E188="",H188="☑"),"",E188-TODAY())</f>
        <v/>
      </c>
      <c r="G188" s="32" t="str">
        <f aca="false">IF(H188="☑","Fatto",IF(E188="","",IF(F188&lt;0,"Scaduta",IF(F188&lt;=7,"Questa settimana",IF(F188&lt;=30,"Entro 30 giorni","Più avanti")))))</f>
        <v/>
      </c>
      <c r="H188" s="40"/>
      <c r="I188" s="34"/>
      <c r="J188" s="34"/>
      <c r="K188" s="34"/>
      <c r="L188" s="32" t="n">
        <f aca="false">IF(D188="Ogni mese",1,IF(D188="Ogni 3 mesi",3,IF(D188="Ogni 6 mesi",6,IF(D188="Ogni anno",12,0))))</f>
        <v>0</v>
      </c>
    </row>
    <row r="189" customFormat="false" ht="19.5" hidden="false" customHeight="true" outlineLevel="0" collapsed="false">
      <c r="A189" s="30"/>
      <c r="B189" s="30"/>
      <c r="C189" s="31"/>
      <c r="D189" s="30"/>
      <c r="E189" s="37" t="str">
        <f aca="true">IF(C189="","",IF(OR(L189=0,C189&gt;=TODAY()),C189,IF(EDATE(C189,INT(((YEAR(TODAY())-YEAR(C189))*12+MONTH(TODAY())-MONTH(C189))/L189)*L189)&gt;=TODAY(),EDATE(C189,INT(((YEAR(TODAY())-YEAR(C189))*12+MONTH(TODAY())-MONTH(C189))/L189)*L189),EDATE(C189,(INT(((YEAR(TODAY())-YEAR(C189))*12+MONTH(TODAY())-MONTH(C189))/L189)+1)*L189))))</f>
        <v/>
      </c>
      <c r="F189" s="38" t="str">
        <f aca="true">IF(OR(E189="",H189="☑"),"",E189-TODAY())</f>
        <v/>
      </c>
      <c r="G189" s="32" t="str">
        <f aca="false">IF(H189="☑","Fatto",IF(E189="","",IF(F189&lt;0,"Scaduta",IF(F189&lt;=7,"Questa settimana",IF(F189&lt;=30,"Entro 30 giorni","Più avanti")))))</f>
        <v/>
      </c>
      <c r="H189" s="39"/>
      <c r="I189" s="30"/>
      <c r="J189" s="30"/>
      <c r="K189" s="30"/>
      <c r="L189" s="32" t="n">
        <f aca="false">IF(D189="Ogni mese",1,IF(D189="Ogni 3 mesi",3,IF(D189="Ogni 6 mesi",6,IF(D189="Ogni anno",12,0))))</f>
        <v>0</v>
      </c>
    </row>
    <row r="190" customFormat="false" ht="19.5" hidden="false" customHeight="true" outlineLevel="0" collapsed="false">
      <c r="A190" s="34"/>
      <c r="B190" s="34"/>
      <c r="C190" s="35"/>
      <c r="D190" s="34"/>
      <c r="E190" s="37" t="str">
        <f aca="true">IF(C190="","",IF(OR(L190=0,C190&gt;=TODAY()),C190,IF(EDATE(C190,INT(((YEAR(TODAY())-YEAR(C190))*12+MONTH(TODAY())-MONTH(C190))/L190)*L190)&gt;=TODAY(),EDATE(C190,INT(((YEAR(TODAY())-YEAR(C190))*12+MONTH(TODAY())-MONTH(C190))/L190)*L190),EDATE(C190,(INT(((YEAR(TODAY())-YEAR(C190))*12+MONTH(TODAY())-MONTH(C190))/L190)+1)*L190))))</f>
        <v/>
      </c>
      <c r="F190" s="38" t="str">
        <f aca="true">IF(OR(E190="",H190="☑"),"",E190-TODAY())</f>
        <v/>
      </c>
      <c r="G190" s="32" t="str">
        <f aca="false">IF(H190="☑","Fatto",IF(E190="","",IF(F190&lt;0,"Scaduta",IF(F190&lt;=7,"Questa settimana",IF(F190&lt;=30,"Entro 30 giorni","Più avanti")))))</f>
        <v/>
      </c>
      <c r="H190" s="40"/>
      <c r="I190" s="34"/>
      <c r="J190" s="34"/>
      <c r="K190" s="34"/>
      <c r="L190" s="32" t="n">
        <f aca="false">IF(D190="Ogni mese",1,IF(D190="Ogni 3 mesi",3,IF(D190="Ogni 6 mesi",6,IF(D190="Ogni anno",12,0))))</f>
        <v>0</v>
      </c>
    </row>
    <row r="191" customFormat="false" ht="19.5" hidden="false" customHeight="true" outlineLevel="0" collapsed="false">
      <c r="A191" s="30"/>
      <c r="B191" s="30"/>
      <c r="C191" s="31"/>
      <c r="D191" s="30"/>
      <c r="E191" s="37" t="str">
        <f aca="true">IF(C191="","",IF(OR(L191=0,C191&gt;=TODAY()),C191,IF(EDATE(C191,INT(((YEAR(TODAY())-YEAR(C191))*12+MONTH(TODAY())-MONTH(C191))/L191)*L191)&gt;=TODAY(),EDATE(C191,INT(((YEAR(TODAY())-YEAR(C191))*12+MONTH(TODAY())-MONTH(C191))/L191)*L191),EDATE(C191,(INT(((YEAR(TODAY())-YEAR(C191))*12+MONTH(TODAY())-MONTH(C191))/L191)+1)*L191))))</f>
        <v/>
      </c>
      <c r="F191" s="38" t="str">
        <f aca="true">IF(OR(E191="",H191="☑"),"",E191-TODAY())</f>
        <v/>
      </c>
      <c r="G191" s="32" t="str">
        <f aca="false">IF(H191="☑","Fatto",IF(E191="","",IF(F191&lt;0,"Scaduta",IF(F191&lt;=7,"Questa settimana",IF(F191&lt;=30,"Entro 30 giorni","Più avanti")))))</f>
        <v/>
      </c>
      <c r="H191" s="39"/>
      <c r="I191" s="30"/>
      <c r="J191" s="30"/>
      <c r="K191" s="30"/>
      <c r="L191" s="32" t="n">
        <f aca="false">IF(D191="Ogni mese",1,IF(D191="Ogni 3 mesi",3,IF(D191="Ogni 6 mesi",6,IF(D191="Ogni anno",12,0))))</f>
        <v>0</v>
      </c>
    </row>
    <row r="192" customFormat="false" ht="19.5" hidden="false" customHeight="true" outlineLevel="0" collapsed="false">
      <c r="A192" s="34"/>
      <c r="B192" s="34"/>
      <c r="C192" s="35"/>
      <c r="D192" s="34"/>
      <c r="E192" s="37" t="str">
        <f aca="true">IF(C192="","",IF(OR(L192=0,C192&gt;=TODAY()),C192,IF(EDATE(C192,INT(((YEAR(TODAY())-YEAR(C192))*12+MONTH(TODAY())-MONTH(C192))/L192)*L192)&gt;=TODAY(),EDATE(C192,INT(((YEAR(TODAY())-YEAR(C192))*12+MONTH(TODAY())-MONTH(C192))/L192)*L192),EDATE(C192,(INT(((YEAR(TODAY())-YEAR(C192))*12+MONTH(TODAY())-MONTH(C192))/L192)+1)*L192))))</f>
        <v/>
      </c>
      <c r="F192" s="38" t="str">
        <f aca="true">IF(OR(E192="",H192="☑"),"",E192-TODAY())</f>
        <v/>
      </c>
      <c r="G192" s="32" t="str">
        <f aca="false">IF(H192="☑","Fatto",IF(E192="","",IF(F192&lt;0,"Scaduta",IF(F192&lt;=7,"Questa settimana",IF(F192&lt;=30,"Entro 30 giorni","Più avanti")))))</f>
        <v/>
      </c>
      <c r="H192" s="40"/>
      <c r="I192" s="34"/>
      <c r="J192" s="34"/>
      <c r="K192" s="34"/>
      <c r="L192" s="32" t="n">
        <f aca="false">IF(D192="Ogni mese",1,IF(D192="Ogni 3 mesi",3,IF(D192="Ogni 6 mesi",6,IF(D192="Ogni anno",12,0))))</f>
        <v>0</v>
      </c>
    </row>
    <row r="193" customFormat="false" ht="19.5" hidden="false" customHeight="true" outlineLevel="0" collapsed="false">
      <c r="A193" s="30"/>
      <c r="B193" s="30"/>
      <c r="C193" s="31"/>
      <c r="D193" s="30"/>
      <c r="E193" s="37" t="str">
        <f aca="true">IF(C193="","",IF(OR(L193=0,C193&gt;=TODAY()),C193,IF(EDATE(C193,INT(((YEAR(TODAY())-YEAR(C193))*12+MONTH(TODAY())-MONTH(C193))/L193)*L193)&gt;=TODAY(),EDATE(C193,INT(((YEAR(TODAY())-YEAR(C193))*12+MONTH(TODAY())-MONTH(C193))/L193)*L193),EDATE(C193,(INT(((YEAR(TODAY())-YEAR(C193))*12+MONTH(TODAY())-MONTH(C193))/L193)+1)*L193))))</f>
        <v/>
      </c>
      <c r="F193" s="38" t="str">
        <f aca="true">IF(OR(E193="",H193="☑"),"",E193-TODAY())</f>
        <v/>
      </c>
      <c r="G193" s="32" t="str">
        <f aca="false">IF(H193="☑","Fatto",IF(E193="","",IF(F193&lt;0,"Scaduta",IF(F193&lt;=7,"Questa settimana",IF(F193&lt;=30,"Entro 30 giorni","Più avanti")))))</f>
        <v/>
      </c>
      <c r="H193" s="39"/>
      <c r="I193" s="30"/>
      <c r="J193" s="30"/>
      <c r="K193" s="30"/>
      <c r="L193" s="32" t="n">
        <f aca="false">IF(D193="Ogni mese",1,IF(D193="Ogni 3 mesi",3,IF(D193="Ogni 6 mesi",6,IF(D193="Ogni anno",12,0))))</f>
        <v>0</v>
      </c>
    </row>
    <row r="194" customFormat="false" ht="19.5" hidden="false" customHeight="true" outlineLevel="0" collapsed="false">
      <c r="A194" s="34"/>
      <c r="B194" s="34"/>
      <c r="C194" s="35"/>
      <c r="D194" s="34"/>
      <c r="E194" s="37" t="str">
        <f aca="true">IF(C194="","",IF(OR(L194=0,C194&gt;=TODAY()),C194,IF(EDATE(C194,INT(((YEAR(TODAY())-YEAR(C194))*12+MONTH(TODAY())-MONTH(C194))/L194)*L194)&gt;=TODAY(),EDATE(C194,INT(((YEAR(TODAY())-YEAR(C194))*12+MONTH(TODAY())-MONTH(C194))/L194)*L194),EDATE(C194,(INT(((YEAR(TODAY())-YEAR(C194))*12+MONTH(TODAY())-MONTH(C194))/L194)+1)*L194))))</f>
        <v/>
      </c>
      <c r="F194" s="38" t="str">
        <f aca="true">IF(OR(E194="",H194="☑"),"",E194-TODAY())</f>
        <v/>
      </c>
      <c r="G194" s="32" t="str">
        <f aca="false">IF(H194="☑","Fatto",IF(E194="","",IF(F194&lt;0,"Scaduta",IF(F194&lt;=7,"Questa settimana",IF(F194&lt;=30,"Entro 30 giorni","Più avanti")))))</f>
        <v/>
      </c>
      <c r="H194" s="40"/>
      <c r="I194" s="34"/>
      <c r="J194" s="34"/>
      <c r="K194" s="34"/>
      <c r="L194" s="32" t="n">
        <f aca="false">IF(D194="Ogni mese",1,IF(D194="Ogni 3 mesi",3,IF(D194="Ogni 6 mesi",6,IF(D194="Ogni anno",12,0))))</f>
        <v>0</v>
      </c>
    </row>
    <row r="195" customFormat="false" ht="19.5" hidden="false" customHeight="true" outlineLevel="0" collapsed="false">
      <c r="A195" s="30"/>
      <c r="B195" s="30"/>
      <c r="C195" s="31"/>
      <c r="D195" s="30"/>
      <c r="E195" s="37" t="str">
        <f aca="true">IF(C195="","",IF(OR(L195=0,C195&gt;=TODAY()),C195,IF(EDATE(C195,INT(((YEAR(TODAY())-YEAR(C195))*12+MONTH(TODAY())-MONTH(C195))/L195)*L195)&gt;=TODAY(),EDATE(C195,INT(((YEAR(TODAY())-YEAR(C195))*12+MONTH(TODAY())-MONTH(C195))/L195)*L195),EDATE(C195,(INT(((YEAR(TODAY())-YEAR(C195))*12+MONTH(TODAY())-MONTH(C195))/L195)+1)*L195))))</f>
        <v/>
      </c>
      <c r="F195" s="38" t="str">
        <f aca="true">IF(OR(E195="",H195="☑"),"",E195-TODAY())</f>
        <v/>
      </c>
      <c r="G195" s="32" t="str">
        <f aca="false">IF(H195="☑","Fatto",IF(E195="","",IF(F195&lt;0,"Scaduta",IF(F195&lt;=7,"Questa settimana",IF(F195&lt;=30,"Entro 30 giorni","Più avanti")))))</f>
        <v/>
      </c>
      <c r="H195" s="39"/>
      <c r="I195" s="30"/>
      <c r="J195" s="30"/>
      <c r="K195" s="30"/>
      <c r="L195" s="32" t="n">
        <f aca="false">IF(D195="Ogni mese",1,IF(D195="Ogni 3 mesi",3,IF(D195="Ogni 6 mesi",6,IF(D195="Ogni anno",12,0))))</f>
        <v>0</v>
      </c>
    </row>
    <row r="196" customFormat="false" ht="19.5" hidden="false" customHeight="true" outlineLevel="0" collapsed="false">
      <c r="A196" s="34"/>
      <c r="B196" s="34"/>
      <c r="C196" s="35"/>
      <c r="D196" s="34"/>
      <c r="E196" s="37" t="str">
        <f aca="true">IF(C196="","",IF(OR(L196=0,C196&gt;=TODAY()),C196,IF(EDATE(C196,INT(((YEAR(TODAY())-YEAR(C196))*12+MONTH(TODAY())-MONTH(C196))/L196)*L196)&gt;=TODAY(),EDATE(C196,INT(((YEAR(TODAY())-YEAR(C196))*12+MONTH(TODAY())-MONTH(C196))/L196)*L196),EDATE(C196,(INT(((YEAR(TODAY())-YEAR(C196))*12+MONTH(TODAY())-MONTH(C196))/L196)+1)*L196))))</f>
        <v/>
      </c>
      <c r="F196" s="38" t="str">
        <f aca="true">IF(OR(E196="",H196="☑"),"",E196-TODAY())</f>
        <v/>
      </c>
      <c r="G196" s="32" t="str">
        <f aca="false">IF(H196="☑","Fatto",IF(E196="","",IF(F196&lt;0,"Scaduta",IF(F196&lt;=7,"Questa settimana",IF(F196&lt;=30,"Entro 30 giorni","Più avanti")))))</f>
        <v/>
      </c>
      <c r="H196" s="40"/>
      <c r="I196" s="34"/>
      <c r="J196" s="34"/>
      <c r="K196" s="34"/>
      <c r="L196" s="32" t="n">
        <f aca="false">IF(D196="Ogni mese",1,IF(D196="Ogni 3 mesi",3,IF(D196="Ogni 6 mesi",6,IF(D196="Ogni anno",12,0))))</f>
        <v>0</v>
      </c>
    </row>
    <row r="197" customFormat="false" ht="19.5" hidden="false" customHeight="true" outlineLevel="0" collapsed="false">
      <c r="A197" s="30"/>
      <c r="B197" s="30"/>
      <c r="C197" s="31"/>
      <c r="D197" s="30"/>
      <c r="E197" s="37" t="str">
        <f aca="true">IF(C197="","",IF(OR(L197=0,C197&gt;=TODAY()),C197,IF(EDATE(C197,INT(((YEAR(TODAY())-YEAR(C197))*12+MONTH(TODAY())-MONTH(C197))/L197)*L197)&gt;=TODAY(),EDATE(C197,INT(((YEAR(TODAY())-YEAR(C197))*12+MONTH(TODAY())-MONTH(C197))/L197)*L197),EDATE(C197,(INT(((YEAR(TODAY())-YEAR(C197))*12+MONTH(TODAY())-MONTH(C197))/L197)+1)*L197))))</f>
        <v/>
      </c>
      <c r="F197" s="38" t="str">
        <f aca="true">IF(OR(E197="",H197="☑"),"",E197-TODAY())</f>
        <v/>
      </c>
      <c r="G197" s="32" t="str">
        <f aca="false">IF(H197="☑","Fatto",IF(E197="","",IF(F197&lt;0,"Scaduta",IF(F197&lt;=7,"Questa settimana",IF(F197&lt;=30,"Entro 30 giorni","Più avanti")))))</f>
        <v/>
      </c>
      <c r="H197" s="39"/>
      <c r="I197" s="30"/>
      <c r="J197" s="30"/>
      <c r="K197" s="30"/>
      <c r="L197" s="32" t="n">
        <f aca="false">IF(D197="Ogni mese",1,IF(D197="Ogni 3 mesi",3,IF(D197="Ogni 6 mesi",6,IF(D197="Ogni anno",12,0))))</f>
        <v>0</v>
      </c>
    </row>
    <row r="198" customFormat="false" ht="19.5" hidden="false" customHeight="true" outlineLevel="0" collapsed="false">
      <c r="A198" s="34"/>
      <c r="B198" s="34"/>
      <c r="C198" s="35"/>
      <c r="D198" s="34"/>
      <c r="E198" s="37" t="str">
        <f aca="true">IF(C198="","",IF(OR(L198=0,C198&gt;=TODAY()),C198,IF(EDATE(C198,INT(((YEAR(TODAY())-YEAR(C198))*12+MONTH(TODAY())-MONTH(C198))/L198)*L198)&gt;=TODAY(),EDATE(C198,INT(((YEAR(TODAY())-YEAR(C198))*12+MONTH(TODAY())-MONTH(C198))/L198)*L198),EDATE(C198,(INT(((YEAR(TODAY())-YEAR(C198))*12+MONTH(TODAY())-MONTH(C198))/L198)+1)*L198))))</f>
        <v/>
      </c>
      <c r="F198" s="38" t="str">
        <f aca="true">IF(OR(E198="",H198="☑"),"",E198-TODAY())</f>
        <v/>
      </c>
      <c r="G198" s="32" t="str">
        <f aca="false">IF(H198="☑","Fatto",IF(E198="","",IF(F198&lt;0,"Scaduta",IF(F198&lt;=7,"Questa settimana",IF(F198&lt;=30,"Entro 30 giorni","Più avanti")))))</f>
        <v/>
      </c>
      <c r="H198" s="40"/>
      <c r="I198" s="34"/>
      <c r="J198" s="34"/>
      <c r="K198" s="34"/>
      <c r="L198" s="32" t="n">
        <f aca="false">IF(D198="Ogni mese",1,IF(D198="Ogni 3 mesi",3,IF(D198="Ogni 6 mesi",6,IF(D198="Ogni anno",12,0))))</f>
        <v>0</v>
      </c>
    </row>
    <row r="199" customFormat="false" ht="19.5" hidden="false" customHeight="true" outlineLevel="0" collapsed="false">
      <c r="A199" s="30"/>
      <c r="B199" s="30"/>
      <c r="C199" s="31"/>
      <c r="D199" s="30"/>
      <c r="E199" s="37" t="str">
        <f aca="true">IF(C199="","",IF(OR(L199=0,C199&gt;=TODAY()),C199,IF(EDATE(C199,INT(((YEAR(TODAY())-YEAR(C199))*12+MONTH(TODAY())-MONTH(C199))/L199)*L199)&gt;=TODAY(),EDATE(C199,INT(((YEAR(TODAY())-YEAR(C199))*12+MONTH(TODAY())-MONTH(C199))/L199)*L199),EDATE(C199,(INT(((YEAR(TODAY())-YEAR(C199))*12+MONTH(TODAY())-MONTH(C199))/L199)+1)*L199))))</f>
        <v/>
      </c>
      <c r="F199" s="38" t="str">
        <f aca="true">IF(OR(E199="",H199="☑"),"",E199-TODAY())</f>
        <v/>
      </c>
      <c r="G199" s="32" t="str">
        <f aca="false">IF(H199="☑","Fatto",IF(E199="","",IF(F199&lt;0,"Scaduta",IF(F199&lt;=7,"Questa settimana",IF(F199&lt;=30,"Entro 30 giorni","Più avanti")))))</f>
        <v/>
      </c>
      <c r="H199" s="39"/>
      <c r="I199" s="30"/>
      <c r="J199" s="30"/>
      <c r="K199" s="30"/>
      <c r="L199" s="32" t="n">
        <f aca="false">IF(D199="Ogni mese",1,IF(D199="Ogni 3 mesi",3,IF(D199="Ogni 6 mesi",6,IF(D199="Ogni anno",12,0))))</f>
        <v>0</v>
      </c>
    </row>
    <row r="200" customFormat="false" ht="19.5" hidden="false" customHeight="true" outlineLevel="0" collapsed="false">
      <c r="A200" s="34"/>
      <c r="B200" s="34"/>
      <c r="C200" s="35"/>
      <c r="D200" s="34"/>
      <c r="E200" s="37" t="str">
        <f aca="true">IF(C200="","",IF(OR(L200=0,C200&gt;=TODAY()),C200,IF(EDATE(C200,INT(((YEAR(TODAY())-YEAR(C200))*12+MONTH(TODAY())-MONTH(C200))/L200)*L200)&gt;=TODAY(),EDATE(C200,INT(((YEAR(TODAY())-YEAR(C200))*12+MONTH(TODAY())-MONTH(C200))/L200)*L200),EDATE(C200,(INT(((YEAR(TODAY())-YEAR(C200))*12+MONTH(TODAY())-MONTH(C200))/L200)+1)*L200))))</f>
        <v/>
      </c>
      <c r="F200" s="38" t="str">
        <f aca="true">IF(OR(E200="",H200="☑"),"",E200-TODAY())</f>
        <v/>
      </c>
      <c r="G200" s="32" t="str">
        <f aca="false">IF(H200="☑","Fatto",IF(E200="","",IF(F200&lt;0,"Scaduta",IF(F200&lt;=7,"Questa settimana",IF(F200&lt;=30,"Entro 30 giorni","Più avanti")))))</f>
        <v/>
      </c>
      <c r="H200" s="40"/>
      <c r="I200" s="34"/>
      <c r="J200" s="34"/>
      <c r="K200" s="34"/>
      <c r="L200" s="32" t="n">
        <f aca="false">IF(D200="Ogni mese",1,IF(D200="Ogni 3 mesi",3,IF(D200="Ogni 6 mesi",6,IF(D200="Ogni anno",12,0))))</f>
        <v>0</v>
      </c>
    </row>
    <row r="201" customFormat="false" ht="19.5" hidden="false" customHeight="true" outlineLevel="0" collapsed="false">
      <c r="A201" s="30"/>
      <c r="B201" s="30"/>
      <c r="C201" s="31"/>
      <c r="D201" s="30"/>
      <c r="E201" s="37" t="str">
        <f aca="true">IF(C201="","",IF(OR(L201=0,C201&gt;=TODAY()),C201,IF(EDATE(C201,INT(((YEAR(TODAY())-YEAR(C201))*12+MONTH(TODAY())-MONTH(C201))/L201)*L201)&gt;=TODAY(),EDATE(C201,INT(((YEAR(TODAY())-YEAR(C201))*12+MONTH(TODAY())-MONTH(C201))/L201)*L201),EDATE(C201,(INT(((YEAR(TODAY())-YEAR(C201))*12+MONTH(TODAY())-MONTH(C201))/L201)+1)*L201))))</f>
        <v/>
      </c>
      <c r="F201" s="38" t="str">
        <f aca="true">IF(OR(E201="",H201="☑"),"",E201-TODAY())</f>
        <v/>
      </c>
      <c r="G201" s="32" t="str">
        <f aca="false">IF(H201="☑","Fatto",IF(E201="","",IF(F201&lt;0,"Scaduta",IF(F201&lt;=7,"Questa settimana",IF(F201&lt;=30,"Entro 30 giorni","Più avanti")))))</f>
        <v/>
      </c>
      <c r="H201" s="39"/>
      <c r="I201" s="30"/>
      <c r="J201" s="30"/>
      <c r="K201" s="30"/>
      <c r="L201" s="32" t="n">
        <f aca="false">IF(D201="Ogni mese",1,IF(D201="Ogni 3 mesi",3,IF(D201="Ogni 6 mesi",6,IF(D201="Ogni anno",12,0))))</f>
        <v>0</v>
      </c>
    </row>
    <row r="202" customFormat="false" ht="19.5" hidden="false" customHeight="true" outlineLevel="0" collapsed="false">
      <c r="A202" s="34"/>
      <c r="B202" s="34"/>
      <c r="C202" s="35"/>
      <c r="D202" s="34"/>
      <c r="E202" s="37" t="str">
        <f aca="true">IF(C202="","",IF(OR(L202=0,C202&gt;=TODAY()),C202,IF(EDATE(C202,INT(((YEAR(TODAY())-YEAR(C202))*12+MONTH(TODAY())-MONTH(C202))/L202)*L202)&gt;=TODAY(),EDATE(C202,INT(((YEAR(TODAY())-YEAR(C202))*12+MONTH(TODAY())-MONTH(C202))/L202)*L202),EDATE(C202,(INT(((YEAR(TODAY())-YEAR(C202))*12+MONTH(TODAY())-MONTH(C202))/L202)+1)*L202))))</f>
        <v/>
      </c>
      <c r="F202" s="38" t="str">
        <f aca="true">IF(OR(E202="",H202="☑"),"",E202-TODAY())</f>
        <v/>
      </c>
      <c r="G202" s="32" t="str">
        <f aca="false">IF(H202="☑","Fatto",IF(E202="","",IF(F202&lt;0,"Scaduta",IF(F202&lt;=7,"Questa settimana",IF(F202&lt;=30,"Entro 30 giorni","Più avanti")))))</f>
        <v/>
      </c>
      <c r="H202" s="40"/>
      <c r="I202" s="34"/>
      <c r="J202" s="34"/>
      <c r="K202" s="34"/>
      <c r="L202" s="32" t="n">
        <f aca="false">IF(D202="Ogni mese",1,IF(D202="Ogni 3 mesi",3,IF(D202="Ogni 6 mesi",6,IF(D202="Ogni anno",12,0))))</f>
        <v>0</v>
      </c>
    </row>
    <row r="203" customFormat="false" ht="19.5" hidden="false" customHeight="true" outlineLevel="0" collapsed="false">
      <c r="A203" s="30"/>
      <c r="B203" s="30"/>
      <c r="C203" s="31"/>
      <c r="D203" s="30"/>
      <c r="E203" s="37" t="str">
        <f aca="true">IF(C203="","",IF(OR(L203=0,C203&gt;=TODAY()),C203,IF(EDATE(C203,INT(((YEAR(TODAY())-YEAR(C203))*12+MONTH(TODAY())-MONTH(C203))/L203)*L203)&gt;=TODAY(),EDATE(C203,INT(((YEAR(TODAY())-YEAR(C203))*12+MONTH(TODAY())-MONTH(C203))/L203)*L203),EDATE(C203,(INT(((YEAR(TODAY())-YEAR(C203))*12+MONTH(TODAY())-MONTH(C203))/L203)+1)*L203))))</f>
        <v/>
      </c>
      <c r="F203" s="38" t="str">
        <f aca="true">IF(OR(E203="",H203="☑"),"",E203-TODAY())</f>
        <v/>
      </c>
      <c r="G203" s="32" t="str">
        <f aca="false">IF(H203="☑","Fatto",IF(E203="","",IF(F203&lt;0,"Scaduta",IF(F203&lt;=7,"Questa settimana",IF(F203&lt;=30,"Entro 30 giorni","Più avanti")))))</f>
        <v/>
      </c>
      <c r="H203" s="39"/>
      <c r="I203" s="30"/>
      <c r="J203" s="30"/>
      <c r="K203" s="30"/>
      <c r="L203" s="32" t="n">
        <f aca="false">IF(D203="Ogni mese",1,IF(D203="Ogni 3 mesi",3,IF(D203="Ogni 6 mesi",6,IF(D203="Ogni anno",12,0))))</f>
        <v>0</v>
      </c>
    </row>
    <row r="204" customFormat="false" ht="19.5" hidden="false" customHeight="true" outlineLevel="0" collapsed="false">
      <c r="A204" s="34"/>
      <c r="B204" s="34"/>
      <c r="C204" s="35"/>
      <c r="D204" s="34"/>
      <c r="E204" s="37" t="str">
        <f aca="true">IF(C204="","",IF(OR(L204=0,C204&gt;=TODAY()),C204,IF(EDATE(C204,INT(((YEAR(TODAY())-YEAR(C204))*12+MONTH(TODAY())-MONTH(C204))/L204)*L204)&gt;=TODAY(),EDATE(C204,INT(((YEAR(TODAY())-YEAR(C204))*12+MONTH(TODAY())-MONTH(C204))/L204)*L204),EDATE(C204,(INT(((YEAR(TODAY())-YEAR(C204))*12+MONTH(TODAY())-MONTH(C204))/L204)+1)*L204))))</f>
        <v/>
      </c>
      <c r="F204" s="38" t="str">
        <f aca="true">IF(OR(E204="",H204="☑"),"",E204-TODAY())</f>
        <v/>
      </c>
      <c r="G204" s="32" t="str">
        <f aca="false">IF(H204="☑","Fatto",IF(E204="","",IF(F204&lt;0,"Scaduta",IF(F204&lt;=7,"Questa settimana",IF(F204&lt;=30,"Entro 30 giorni","Più avanti")))))</f>
        <v/>
      </c>
      <c r="H204" s="40"/>
      <c r="I204" s="34"/>
      <c r="J204" s="34"/>
      <c r="K204" s="34"/>
      <c r="L204" s="32" t="n">
        <f aca="false">IF(D204="Ogni mese",1,IF(D204="Ogni 3 mesi",3,IF(D204="Ogni 6 mesi",6,IF(D204="Ogni anno",12,0))))</f>
        <v>0</v>
      </c>
    </row>
    <row r="205" customFormat="false" ht="19.5" hidden="false" customHeight="true" outlineLevel="0" collapsed="false">
      <c r="A205" s="30"/>
      <c r="B205" s="30"/>
      <c r="C205" s="31"/>
      <c r="D205" s="30"/>
      <c r="E205" s="37" t="str">
        <f aca="true">IF(C205="","",IF(OR(L205=0,C205&gt;=TODAY()),C205,IF(EDATE(C205,INT(((YEAR(TODAY())-YEAR(C205))*12+MONTH(TODAY())-MONTH(C205))/L205)*L205)&gt;=TODAY(),EDATE(C205,INT(((YEAR(TODAY())-YEAR(C205))*12+MONTH(TODAY())-MONTH(C205))/L205)*L205),EDATE(C205,(INT(((YEAR(TODAY())-YEAR(C205))*12+MONTH(TODAY())-MONTH(C205))/L205)+1)*L205))))</f>
        <v/>
      </c>
      <c r="F205" s="38" t="str">
        <f aca="true">IF(OR(E205="",H205="☑"),"",E205-TODAY())</f>
        <v/>
      </c>
      <c r="G205" s="32" t="str">
        <f aca="false">IF(H205="☑","Fatto",IF(E205="","",IF(F205&lt;0,"Scaduta",IF(F205&lt;=7,"Questa settimana",IF(F205&lt;=30,"Entro 30 giorni","Più avanti")))))</f>
        <v/>
      </c>
      <c r="H205" s="39"/>
      <c r="I205" s="30"/>
      <c r="J205" s="30"/>
      <c r="K205" s="30"/>
      <c r="L205" s="32" t="n">
        <f aca="false">IF(D205="Ogni mese",1,IF(D205="Ogni 3 mesi",3,IF(D205="Ogni 6 mesi",6,IF(D205="Ogni anno",12,0))))</f>
        <v>0</v>
      </c>
    </row>
    <row r="206" customFormat="false" ht="19.5" hidden="false" customHeight="true" outlineLevel="0" collapsed="false">
      <c r="A206" s="34"/>
      <c r="B206" s="34"/>
      <c r="C206" s="35"/>
      <c r="D206" s="34"/>
      <c r="E206" s="37" t="str">
        <f aca="true">IF(C206="","",IF(OR(L206=0,C206&gt;=TODAY()),C206,IF(EDATE(C206,INT(((YEAR(TODAY())-YEAR(C206))*12+MONTH(TODAY())-MONTH(C206))/L206)*L206)&gt;=TODAY(),EDATE(C206,INT(((YEAR(TODAY())-YEAR(C206))*12+MONTH(TODAY())-MONTH(C206))/L206)*L206),EDATE(C206,(INT(((YEAR(TODAY())-YEAR(C206))*12+MONTH(TODAY())-MONTH(C206))/L206)+1)*L206))))</f>
        <v/>
      </c>
      <c r="F206" s="38" t="str">
        <f aca="true">IF(OR(E206="",H206="☑"),"",E206-TODAY())</f>
        <v/>
      </c>
      <c r="G206" s="32" t="str">
        <f aca="false">IF(H206="☑","Fatto",IF(E206="","",IF(F206&lt;0,"Scaduta",IF(F206&lt;=7,"Questa settimana",IF(F206&lt;=30,"Entro 30 giorni","Più avanti")))))</f>
        <v/>
      </c>
      <c r="H206" s="40"/>
      <c r="I206" s="34"/>
      <c r="J206" s="34"/>
      <c r="K206" s="34"/>
      <c r="L206" s="32" t="n">
        <f aca="false">IF(D206="Ogni mese",1,IF(D206="Ogni 3 mesi",3,IF(D206="Ogni 6 mesi",6,IF(D206="Ogni anno",12,0))))</f>
        <v>0</v>
      </c>
    </row>
    <row r="207" customFormat="false" ht="19.5" hidden="false" customHeight="true" outlineLevel="0" collapsed="false">
      <c r="A207" s="30"/>
      <c r="B207" s="30"/>
      <c r="C207" s="31"/>
      <c r="D207" s="30"/>
      <c r="E207" s="37" t="str">
        <f aca="true">IF(C207="","",IF(OR(L207=0,C207&gt;=TODAY()),C207,IF(EDATE(C207,INT(((YEAR(TODAY())-YEAR(C207))*12+MONTH(TODAY())-MONTH(C207))/L207)*L207)&gt;=TODAY(),EDATE(C207,INT(((YEAR(TODAY())-YEAR(C207))*12+MONTH(TODAY())-MONTH(C207))/L207)*L207),EDATE(C207,(INT(((YEAR(TODAY())-YEAR(C207))*12+MONTH(TODAY())-MONTH(C207))/L207)+1)*L207))))</f>
        <v/>
      </c>
      <c r="F207" s="38" t="str">
        <f aca="true">IF(OR(E207="",H207="☑"),"",E207-TODAY())</f>
        <v/>
      </c>
      <c r="G207" s="32" t="str">
        <f aca="false">IF(H207="☑","Fatto",IF(E207="","",IF(F207&lt;0,"Scaduta",IF(F207&lt;=7,"Questa settimana",IF(F207&lt;=30,"Entro 30 giorni","Più avanti")))))</f>
        <v/>
      </c>
      <c r="H207" s="39"/>
      <c r="I207" s="30"/>
      <c r="J207" s="30"/>
      <c r="K207" s="30"/>
      <c r="L207" s="32" t="n">
        <f aca="false">IF(D207="Ogni mese",1,IF(D207="Ogni 3 mesi",3,IF(D207="Ogni 6 mesi",6,IF(D207="Ogni anno",12,0))))</f>
        <v>0</v>
      </c>
    </row>
    <row r="208" customFormat="false" ht="19.5" hidden="false" customHeight="true" outlineLevel="0" collapsed="false">
      <c r="A208" s="34"/>
      <c r="B208" s="34"/>
      <c r="C208" s="35"/>
      <c r="D208" s="34"/>
      <c r="E208" s="37" t="str">
        <f aca="true">IF(C208="","",IF(OR(L208=0,C208&gt;=TODAY()),C208,IF(EDATE(C208,INT(((YEAR(TODAY())-YEAR(C208))*12+MONTH(TODAY())-MONTH(C208))/L208)*L208)&gt;=TODAY(),EDATE(C208,INT(((YEAR(TODAY())-YEAR(C208))*12+MONTH(TODAY())-MONTH(C208))/L208)*L208),EDATE(C208,(INT(((YEAR(TODAY())-YEAR(C208))*12+MONTH(TODAY())-MONTH(C208))/L208)+1)*L208))))</f>
        <v/>
      </c>
      <c r="F208" s="38" t="str">
        <f aca="true">IF(OR(E208="",H208="☑"),"",E208-TODAY())</f>
        <v/>
      </c>
      <c r="G208" s="32" t="str">
        <f aca="false">IF(H208="☑","Fatto",IF(E208="","",IF(F208&lt;0,"Scaduta",IF(F208&lt;=7,"Questa settimana",IF(F208&lt;=30,"Entro 30 giorni","Più avanti")))))</f>
        <v/>
      </c>
      <c r="H208" s="40"/>
      <c r="I208" s="34"/>
      <c r="J208" s="34"/>
      <c r="K208" s="34"/>
      <c r="L208" s="32" t="n">
        <f aca="false">IF(D208="Ogni mese",1,IF(D208="Ogni 3 mesi",3,IF(D208="Ogni 6 mesi",6,IF(D208="Ogni anno",12,0))))</f>
        <v>0</v>
      </c>
    </row>
    <row r="209" customFormat="false" ht="19.5" hidden="false" customHeight="true" outlineLevel="0" collapsed="false">
      <c r="A209" s="30"/>
      <c r="B209" s="30"/>
      <c r="C209" s="31"/>
      <c r="D209" s="30"/>
      <c r="E209" s="37" t="str">
        <f aca="true">IF(C209="","",IF(OR(L209=0,C209&gt;=TODAY()),C209,IF(EDATE(C209,INT(((YEAR(TODAY())-YEAR(C209))*12+MONTH(TODAY())-MONTH(C209))/L209)*L209)&gt;=TODAY(),EDATE(C209,INT(((YEAR(TODAY())-YEAR(C209))*12+MONTH(TODAY())-MONTH(C209))/L209)*L209),EDATE(C209,(INT(((YEAR(TODAY())-YEAR(C209))*12+MONTH(TODAY())-MONTH(C209))/L209)+1)*L209))))</f>
        <v/>
      </c>
      <c r="F209" s="38" t="str">
        <f aca="true">IF(OR(E209="",H209="☑"),"",E209-TODAY())</f>
        <v/>
      </c>
      <c r="G209" s="32" t="str">
        <f aca="false">IF(H209="☑","Fatto",IF(E209="","",IF(F209&lt;0,"Scaduta",IF(F209&lt;=7,"Questa settimana",IF(F209&lt;=30,"Entro 30 giorni","Più avanti")))))</f>
        <v/>
      </c>
      <c r="H209" s="39"/>
      <c r="I209" s="30"/>
      <c r="J209" s="30"/>
      <c r="K209" s="30"/>
      <c r="L209" s="32" t="n">
        <f aca="false">IF(D209="Ogni mese",1,IF(D209="Ogni 3 mesi",3,IF(D209="Ogni 6 mesi",6,IF(D209="Ogni anno",12,0))))</f>
        <v>0</v>
      </c>
    </row>
    <row r="210" customFormat="false" ht="19.5" hidden="false" customHeight="true" outlineLevel="0" collapsed="false">
      <c r="A210" s="34"/>
      <c r="B210" s="34"/>
      <c r="C210" s="35"/>
      <c r="D210" s="34"/>
      <c r="E210" s="37" t="str">
        <f aca="true">IF(C210="","",IF(OR(L210=0,C210&gt;=TODAY()),C210,IF(EDATE(C210,INT(((YEAR(TODAY())-YEAR(C210))*12+MONTH(TODAY())-MONTH(C210))/L210)*L210)&gt;=TODAY(),EDATE(C210,INT(((YEAR(TODAY())-YEAR(C210))*12+MONTH(TODAY())-MONTH(C210))/L210)*L210),EDATE(C210,(INT(((YEAR(TODAY())-YEAR(C210))*12+MONTH(TODAY())-MONTH(C210))/L210)+1)*L210))))</f>
        <v/>
      </c>
      <c r="F210" s="38" t="str">
        <f aca="true">IF(OR(E210="",H210="☑"),"",E210-TODAY())</f>
        <v/>
      </c>
      <c r="G210" s="32" t="str">
        <f aca="false">IF(H210="☑","Fatto",IF(E210="","",IF(F210&lt;0,"Scaduta",IF(F210&lt;=7,"Questa settimana",IF(F210&lt;=30,"Entro 30 giorni","Più avanti")))))</f>
        <v/>
      </c>
      <c r="H210" s="40"/>
      <c r="I210" s="34"/>
      <c r="J210" s="34"/>
      <c r="K210" s="34"/>
      <c r="L210" s="32" t="n">
        <f aca="false">IF(D210="Ogni mese",1,IF(D210="Ogni 3 mesi",3,IF(D210="Ogni 6 mesi",6,IF(D210="Ogni anno",12,0))))</f>
        <v>0</v>
      </c>
    </row>
    <row r="211" customFormat="false" ht="19.5" hidden="false" customHeight="true" outlineLevel="0" collapsed="false">
      <c r="A211" s="30"/>
      <c r="B211" s="30"/>
      <c r="C211" s="31"/>
      <c r="D211" s="30"/>
      <c r="E211" s="37" t="str">
        <f aca="true">IF(C211="","",IF(OR(L211=0,C211&gt;=TODAY()),C211,IF(EDATE(C211,INT(((YEAR(TODAY())-YEAR(C211))*12+MONTH(TODAY())-MONTH(C211))/L211)*L211)&gt;=TODAY(),EDATE(C211,INT(((YEAR(TODAY())-YEAR(C211))*12+MONTH(TODAY())-MONTH(C211))/L211)*L211),EDATE(C211,(INT(((YEAR(TODAY())-YEAR(C211))*12+MONTH(TODAY())-MONTH(C211))/L211)+1)*L211))))</f>
        <v/>
      </c>
      <c r="F211" s="38" t="str">
        <f aca="true">IF(OR(E211="",H211="☑"),"",E211-TODAY())</f>
        <v/>
      </c>
      <c r="G211" s="32" t="str">
        <f aca="false">IF(H211="☑","Fatto",IF(E211="","",IF(F211&lt;0,"Scaduta",IF(F211&lt;=7,"Questa settimana",IF(F211&lt;=30,"Entro 30 giorni","Più avanti")))))</f>
        <v/>
      </c>
      <c r="H211" s="39"/>
      <c r="I211" s="30"/>
      <c r="J211" s="30"/>
      <c r="K211" s="30"/>
      <c r="L211" s="32" t="n">
        <f aca="false">IF(D211="Ogni mese",1,IF(D211="Ogni 3 mesi",3,IF(D211="Ogni 6 mesi",6,IF(D211="Ogni anno",12,0))))</f>
        <v>0</v>
      </c>
    </row>
    <row r="212" customFormat="false" ht="19.5" hidden="false" customHeight="true" outlineLevel="0" collapsed="false">
      <c r="A212" s="34"/>
      <c r="B212" s="34"/>
      <c r="C212" s="35"/>
      <c r="D212" s="34"/>
      <c r="E212" s="37" t="str">
        <f aca="true">IF(C212="","",IF(OR(L212=0,C212&gt;=TODAY()),C212,IF(EDATE(C212,INT(((YEAR(TODAY())-YEAR(C212))*12+MONTH(TODAY())-MONTH(C212))/L212)*L212)&gt;=TODAY(),EDATE(C212,INT(((YEAR(TODAY())-YEAR(C212))*12+MONTH(TODAY())-MONTH(C212))/L212)*L212),EDATE(C212,(INT(((YEAR(TODAY())-YEAR(C212))*12+MONTH(TODAY())-MONTH(C212))/L212)+1)*L212))))</f>
        <v/>
      </c>
      <c r="F212" s="38" t="str">
        <f aca="true">IF(OR(E212="",H212="☑"),"",E212-TODAY())</f>
        <v/>
      </c>
      <c r="G212" s="32" t="str">
        <f aca="false">IF(H212="☑","Fatto",IF(E212="","",IF(F212&lt;0,"Scaduta",IF(F212&lt;=7,"Questa settimana",IF(F212&lt;=30,"Entro 30 giorni","Più avanti")))))</f>
        <v/>
      </c>
      <c r="H212" s="40"/>
      <c r="I212" s="34"/>
      <c r="J212" s="34"/>
      <c r="K212" s="34"/>
      <c r="L212" s="32" t="n">
        <f aca="false">IF(D212="Ogni mese",1,IF(D212="Ogni 3 mesi",3,IF(D212="Ogni 6 mesi",6,IF(D212="Ogni anno",12,0))))</f>
        <v>0</v>
      </c>
    </row>
    <row r="213" customFormat="false" ht="19.5" hidden="false" customHeight="true" outlineLevel="0" collapsed="false">
      <c r="A213" s="30"/>
      <c r="B213" s="30"/>
      <c r="C213" s="31"/>
      <c r="D213" s="30"/>
      <c r="E213" s="37" t="str">
        <f aca="true">IF(C213="","",IF(OR(L213=0,C213&gt;=TODAY()),C213,IF(EDATE(C213,INT(((YEAR(TODAY())-YEAR(C213))*12+MONTH(TODAY())-MONTH(C213))/L213)*L213)&gt;=TODAY(),EDATE(C213,INT(((YEAR(TODAY())-YEAR(C213))*12+MONTH(TODAY())-MONTH(C213))/L213)*L213),EDATE(C213,(INT(((YEAR(TODAY())-YEAR(C213))*12+MONTH(TODAY())-MONTH(C213))/L213)+1)*L213))))</f>
        <v/>
      </c>
      <c r="F213" s="38" t="str">
        <f aca="true">IF(OR(E213="",H213="☑"),"",E213-TODAY())</f>
        <v/>
      </c>
      <c r="G213" s="32" t="str">
        <f aca="false">IF(H213="☑","Fatto",IF(E213="","",IF(F213&lt;0,"Scaduta",IF(F213&lt;=7,"Questa settimana",IF(F213&lt;=30,"Entro 30 giorni","Più avanti")))))</f>
        <v/>
      </c>
      <c r="H213" s="39"/>
      <c r="I213" s="30"/>
      <c r="J213" s="30"/>
      <c r="K213" s="30"/>
      <c r="L213" s="32" t="n">
        <f aca="false">IF(D213="Ogni mese",1,IF(D213="Ogni 3 mesi",3,IF(D213="Ogni 6 mesi",6,IF(D213="Ogni anno",12,0))))</f>
        <v>0</v>
      </c>
    </row>
    <row r="214" customFormat="false" ht="19.5" hidden="false" customHeight="true" outlineLevel="0" collapsed="false">
      <c r="A214" s="34"/>
      <c r="B214" s="34"/>
      <c r="C214" s="35"/>
      <c r="D214" s="34"/>
      <c r="E214" s="37" t="str">
        <f aca="true">IF(C214="","",IF(OR(L214=0,C214&gt;=TODAY()),C214,IF(EDATE(C214,INT(((YEAR(TODAY())-YEAR(C214))*12+MONTH(TODAY())-MONTH(C214))/L214)*L214)&gt;=TODAY(),EDATE(C214,INT(((YEAR(TODAY())-YEAR(C214))*12+MONTH(TODAY())-MONTH(C214))/L214)*L214),EDATE(C214,(INT(((YEAR(TODAY())-YEAR(C214))*12+MONTH(TODAY())-MONTH(C214))/L214)+1)*L214))))</f>
        <v/>
      </c>
      <c r="F214" s="38" t="str">
        <f aca="true">IF(OR(E214="",H214="☑"),"",E214-TODAY())</f>
        <v/>
      </c>
      <c r="G214" s="32" t="str">
        <f aca="false">IF(H214="☑","Fatto",IF(E214="","",IF(F214&lt;0,"Scaduta",IF(F214&lt;=7,"Questa settimana",IF(F214&lt;=30,"Entro 30 giorni","Più avanti")))))</f>
        <v/>
      </c>
      <c r="H214" s="40"/>
      <c r="I214" s="34"/>
      <c r="J214" s="34"/>
      <c r="K214" s="34"/>
      <c r="L214" s="32" t="n">
        <f aca="false">IF(D214="Ogni mese",1,IF(D214="Ogni 3 mesi",3,IF(D214="Ogni 6 mesi",6,IF(D214="Ogni anno",12,0))))</f>
        <v>0</v>
      </c>
    </row>
    <row r="215" customFormat="false" ht="19.5" hidden="false" customHeight="true" outlineLevel="0" collapsed="false">
      <c r="A215" s="30"/>
      <c r="B215" s="30"/>
      <c r="C215" s="31"/>
      <c r="D215" s="30"/>
      <c r="E215" s="37" t="str">
        <f aca="true">IF(C215="","",IF(OR(L215=0,C215&gt;=TODAY()),C215,IF(EDATE(C215,INT(((YEAR(TODAY())-YEAR(C215))*12+MONTH(TODAY())-MONTH(C215))/L215)*L215)&gt;=TODAY(),EDATE(C215,INT(((YEAR(TODAY())-YEAR(C215))*12+MONTH(TODAY())-MONTH(C215))/L215)*L215),EDATE(C215,(INT(((YEAR(TODAY())-YEAR(C215))*12+MONTH(TODAY())-MONTH(C215))/L215)+1)*L215))))</f>
        <v/>
      </c>
      <c r="F215" s="38" t="str">
        <f aca="true">IF(OR(E215="",H215="☑"),"",E215-TODAY())</f>
        <v/>
      </c>
      <c r="G215" s="32" t="str">
        <f aca="false">IF(H215="☑","Fatto",IF(E215="","",IF(F215&lt;0,"Scaduta",IF(F215&lt;=7,"Questa settimana",IF(F215&lt;=30,"Entro 30 giorni","Più avanti")))))</f>
        <v/>
      </c>
      <c r="H215" s="39"/>
      <c r="I215" s="30"/>
      <c r="J215" s="30"/>
      <c r="K215" s="30"/>
      <c r="L215" s="32" t="n">
        <f aca="false">IF(D215="Ogni mese",1,IF(D215="Ogni 3 mesi",3,IF(D215="Ogni 6 mesi",6,IF(D215="Ogni anno",12,0))))</f>
        <v>0</v>
      </c>
    </row>
    <row r="216" customFormat="false" ht="19.5" hidden="false" customHeight="true" outlineLevel="0" collapsed="false">
      <c r="A216" s="34"/>
      <c r="B216" s="34"/>
      <c r="C216" s="35"/>
      <c r="D216" s="34"/>
      <c r="E216" s="37" t="str">
        <f aca="true">IF(C216="","",IF(OR(L216=0,C216&gt;=TODAY()),C216,IF(EDATE(C216,INT(((YEAR(TODAY())-YEAR(C216))*12+MONTH(TODAY())-MONTH(C216))/L216)*L216)&gt;=TODAY(),EDATE(C216,INT(((YEAR(TODAY())-YEAR(C216))*12+MONTH(TODAY())-MONTH(C216))/L216)*L216),EDATE(C216,(INT(((YEAR(TODAY())-YEAR(C216))*12+MONTH(TODAY())-MONTH(C216))/L216)+1)*L216))))</f>
        <v/>
      </c>
      <c r="F216" s="38" t="str">
        <f aca="true">IF(OR(E216="",H216="☑"),"",E216-TODAY())</f>
        <v/>
      </c>
      <c r="G216" s="32" t="str">
        <f aca="false">IF(H216="☑","Fatto",IF(E216="","",IF(F216&lt;0,"Scaduta",IF(F216&lt;=7,"Questa settimana",IF(F216&lt;=30,"Entro 30 giorni","Più avanti")))))</f>
        <v/>
      </c>
      <c r="H216" s="40"/>
      <c r="I216" s="34"/>
      <c r="J216" s="34"/>
      <c r="K216" s="34"/>
      <c r="L216" s="32" t="n">
        <f aca="false">IF(D216="Ogni mese",1,IF(D216="Ogni 3 mesi",3,IF(D216="Ogni 6 mesi",6,IF(D216="Ogni anno",12,0))))</f>
        <v>0</v>
      </c>
    </row>
    <row r="217" customFormat="false" ht="19.5" hidden="false" customHeight="true" outlineLevel="0" collapsed="false">
      <c r="A217" s="30"/>
      <c r="B217" s="30"/>
      <c r="C217" s="31"/>
      <c r="D217" s="30"/>
      <c r="E217" s="37" t="str">
        <f aca="true">IF(C217="","",IF(OR(L217=0,C217&gt;=TODAY()),C217,IF(EDATE(C217,INT(((YEAR(TODAY())-YEAR(C217))*12+MONTH(TODAY())-MONTH(C217))/L217)*L217)&gt;=TODAY(),EDATE(C217,INT(((YEAR(TODAY())-YEAR(C217))*12+MONTH(TODAY())-MONTH(C217))/L217)*L217),EDATE(C217,(INT(((YEAR(TODAY())-YEAR(C217))*12+MONTH(TODAY())-MONTH(C217))/L217)+1)*L217))))</f>
        <v/>
      </c>
      <c r="F217" s="38" t="str">
        <f aca="true">IF(OR(E217="",H217="☑"),"",E217-TODAY())</f>
        <v/>
      </c>
      <c r="G217" s="32" t="str">
        <f aca="false">IF(H217="☑","Fatto",IF(E217="","",IF(F217&lt;0,"Scaduta",IF(F217&lt;=7,"Questa settimana",IF(F217&lt;=30,"Entro 30 giorni","Più avanti")))))</f>
        <v/>
      </c>
      <c r="H217" s="39"/>
      <c r="I217" s="30"/>
      <c r="J217" s="30"/>
      <c r="K217" s="30"/>
      <c r="L217" s="32" t="n">
        <f aca="false">IF(D217="Ogni mese",1,IF(D217="Ogni 3 mesi",3,IF(D217="Ogni 6 mesi",6,IF(D217="Ogni anno",12,0))))</f>
        <v>0</v>
      </c>
    </row>
    <row r="218" customFormat="false" ht="19.5" hidden="false" customHeight="true" outlineLevel="0" collapsed="false">
      <c r="A218" s="34"/>
      <c r="B218" s="34"/>
      <c r="C218" s="35"/>
      <c r="D218" s="34"/>
      <c r="E218" s="37" t="str">
        <f aca="true">IF(C218="","",IF(OR(L218=0,C218&gt;=TODAY()),C218,IF(EDATE(C218,INT(((YEAR(TODAY())-YEAR(C218))*12+MONTH(TODAY())-MONTH(C218))/L218)*L218)&gt;=TODAY(),EDATE(C218,INT(((YEAR(TODAY())-YEAR(C218))*12+MONTH(TODAY())-MONTH(C218))/L218)*L218),EDATE(C218,(INT(((YEAR(TODAY())-YEAR(C218))*12+MONTH(TODAY())-MONTH(C218))/L218)+1)*L218))))</f>
        <v/>
      </c>
      <c r="F218" s="38" t="str">
        <f aca="true">IF(OR(E218="",H218="☑"),"",E218-TODAY())</f>
        <v/>
      </c>
      <c r="G218" s="32" t="str">
        <f aca="false">IF(H218="☑","Fatto",IF(E218="","",IF(F218&lt;0,"Scaduta",IF(F218&lt;=7,"Questa settimana",IF(F218&lt;=30,"Entro 30 giorni","Più avanti")))))</f>
        <v/>
      </c>
      <c r="H218" s="40"/>
      <c r="I218" s="34"/>
      <c r="J218" s="34"/>
      <c r="K218" s="34"/>
      <c r="L218" s="32" t="n">
        <f aca="false">IF(D218="Ogni mese",1,IF(D218="Ogni 3 mesi",3,IF(D218="Ogni 6 mesi",6,IF(D218="Ogni anno",12,0))))</f>
        <v>0</v>
      </c>
    </row>
    <row r="219" customFormat="false" ht="19.5" hidden="false" customHeight="true" outlineLevel="0" collapsed="false">
      <c r="A219" s="30"/>
      <c r="B219" s="30"/>
      <c r="C219" s="31"/>
      <c r="D219" s="30"/>
      <c r="E219" s="37" t="str">
        <f aca="true">IF(C219="","",IF(OR(L219=0,C219&gt;=TODAY()),C219,IF(EDATE(C219,INT(((YEAR(TODAY())-YEAR(C219))*12+MONTH(TODAY())-MONTH(C219))/L219)*L219)&gt;=TODAY(),EDATE(C219,INT(((YEAR(TODAY())-YEAR(C219))*12+MONTH(TODAY())-MONTH(C219))/L219)*L219),EDATE(C219,(INT(((YEAR(TODAY())-YEAR(C219))*12+MONTH(TODAY())-MONTH(C219))/L219)+1)*L219))))</f>
        <v/>
      </c>
      <c r="F219" s="38" t="str">
        <f aca="true">IF(OR(E219="",H219="☑"),"",E219-TODAY())</f>
        <v/>
      </c>
      <c r="G219" s="32" t="str">
        <f aca="false">IF(H219="☑","Fatto",IF(E219="","",IF(F219&lt;0,"Scaduta",IF(F219&lt;=7,"Questa settimana",IF(F219&lt;=30,"Entro 30 giorni","Più avanti")))))</f>
        <v/>
      </c>
      <c r="H219" s="39"/>
      <c r="I219" s="30"/>
      <c r="J219" s="30"/>
      <c r="K219" s="30"/>
      <c r="L219" s="32" t="n">
        <f aca="false">IF(D219="Ogni mese",1,IF(D219="Ogni 3 mesi",3,IF(D219="Ogni 6 mesi",6,IF(D219="Ogni anno",12,0))))</f>
        <v>0</v>
      </c>
    </row>
    <row r="220" customFormat="false" ht="19.5" hidden="false" customHeight="true" outlineLevel="0" collapsed="false">
      <c r="A220" s="34"/>
      <c r="B220" s="34"/>
      <c r="C220" s="35"/>
      <c r="D220" s="34"/>
      <c r="E220" s="37" t="str">
        <f aca="true">IF(C220="","",IF(OR(L220=0,C220&gt;=TODAY()),C220,IF(EDATE(C220,INT(((YEAR(TODAY())-YEAR(C220))*12+MONTH(TODAY())-MONTH(C220))/L220)*L220)&gt;=TODAY(),EDATE(C220,INT(((YEAR(TODAY())-YEAR(C220))*12+MONTH(TODAY())-MONTH(C220))/L220)*L220),EDATE(C220,(INT(((YEAR(TODAY())-YEAR(C220))*12+MONTH(TODAY())-MONTH(C220))/L220)+1)*L220))))</f>
        <v/>
      </c>
      <c r="F220" s="38" t="str">
        <f aca="true">IF(OR(E220="",H220="☑"),"",E220-TODAY())</f>
        <v/>
      </c>
      <c r="G220" s="32" t="str">
        <f aca="false">IF(H220="☑","Fatto",IF(E220="","",IF(F220&lt;0,"Scaduta",IF(F220&lt;=7,"Questa settimana",IF(F220&lt;=30,"Entro 30 giorni","Più avanti")))))</f>
        <v/>
      </c>
      <c r="H220" s="40"/>
      <c r="I220" s="34"/>
      <c r="J220" s="34"/>
      <c r="K220" s="34"/>
      <c r="L220" s="32" t="n">
        <f aca="false">IF(D220="Ogni mese",1,IF(D220="Ogni 3 mesi",3,IF(D220="Ogni 6 mesi",6,IF(D220="Ogni anno",12,0))))</f>
        <v>0</v>
      </c>
    </row>
    <row r="221" customFormat="false" ht="19.5" hidden="false" customHeight="true" outlineLevel="0" collapsed="false">
      <c r="A221" s="30"/>
      <c r="B221" s="30"/>
      <c r="C221" s="31"/>
      <c r="D221" s="30"/>
      <c r="E221" s="37" t="str">
        <f aca="true">IF(C221="","",IF(OR(L221=0,C221&gt;=TODAY()),C221,IF(EDATE(C221,INT(((YEAR(TODAY())-YEAR(C221))*12+MONTH(TODAY())-MONTH(C221))/L221)*L221)&gt;=TODAY(),EDATE(C221,INT(((YEAR(TODAY())-YEAR(C221))*12+MONTH(TODAY())-MONTH(C221))/L221)*L221),EDATE(C221,(INT(((YEAR(TODAY())-YEAR(C221))*12+MONTH(TODAY())-MONTH(C221))/L221)+1)*L221))))</f>
        <v/>
      </c>
      <c r="F221" s="38" t="str">
        <f aca="true">IF(OR(E221="",H221="☑"),"",E221-TODAY())</f>
        <v/>
      </c>
      <c r="G221" s="32" t="str">
        <f aca="false">IF(H221="☑","Fatto",IF(E221="","",IF(F221&lt;0,"Scaduta",IF(F221&lt;=7,"Questa settimana",IF(F221&lt;=30,"Entro 30 giorni","Più avanti")))))</f>
        <v/>
      </c>
      <c r="H221" s="39"/>
      <c r="I221" s="30"/>
      <c r="J221" s="30"/>
      <c r="K221" s="30"/>
      <c r="L221" s="32" t="n">
        <f aca="false">IF(D221="Ogni mese",1,IF(D221="Ogni 3 mesi",3,IF(D221="Ogni 6 mesi",6,IF(D221="Ogni anno",12,0))))</f>
        <v>0</v>
      </c>
    </row>
    <row r="222" customFormat="false" ht="19.5" hidden="false" customHeight="true" outlineLevel="0" collapsed="false">
      <c r="A222" s="34"/>
      <c r="B222" s="34"/>
      <c r="C222" s="35"/>
      <c r="D222" s="34"/>
      <c r="E222" s="37" t="str">
        <f aca="true">IF(C222="","",IF(OR(L222=0,C222&gt;=TODAY()),C222,IF(EDATE(C222,INT(((YEAR(TODAY())-YEAR(C222))*12+MONTH(TODAY())-MONTH(C222))/L222)*L222)&gt;=TODAY(),EDATE(C222,INT(((YEAR(TODAY())-YEAR(C222))*12+MONTH(TODAY())-MONTH(C222))/L222)*L222),EDATE(C222,(INT(((YEAR(TODAY())-YEAR(C222))*12+MONTH(TODAY())-MONTH(C222))/L222)+1)*L222))))</f>
        <v/>
      </c>
      <c r="F222" s="38" t="str">
        <f aca="true">IF(OR(E222="",H222="☑"),"",E222-TODAY())</f>
        <v/>
      </c>
      <c r="G222" s="32" t="str">
        <f aca="false">IF(H222="☑","Fatto",IF(E222="","",IF(F222&lt;0,"Scaduta",IF(F222&lt;=7,"Questa settimana",IF(F222&lt;=30,"Entro 30 giorni","Più avanti")))))</f>
        <v/>
      </c>
      <c r="H222" s="40"/>
      <c r="I222" s="34"/>
      <c r="J222" s="34"/>
      <c r="K222" s="34"/>
      <c r="L222" s="32" t="n">
        <f aca="false">IF(D222="Ogni mese",1,IF(D222="Ogni 3 mesi",3,IF(D222="Ogni 6 mesi",6,IF(D222="Ogni anno",12,0))))</f>
        <v>0</v>
      </c>
    </row>
    <row r="223" customFormat="false" ht="19.5" hidden="false" customHeight="true" outlineLevel="0" collapsed="false">
      <c r="A223" s="30"/>
      <c r="B223" s="30"/>
      <c r="C223" s="31"/>
      <c r="D223" s="30"/>
      <c r="E223" s="37" t="str">
        <f aca="true">IF(C223="","",IF(OR(L223=0,C223&gt;=TODAY()),C223,IF(EDATE(C223,INT(((YEAR(TODAY())-YEAR(C223))*12+MONTH(TODAY())-MONTH(C223))/L223)*L223)&gt;=TODAY(),EDATE(C223,INT(((YEAR(TODAY())-YEAR(C223))*12+MONTH(TODAY())-MONTH(C223))/L223)*L223),EDATE(C223,(INT(((YEAR(TODAY())-YEAR(C223))*12+MONTH(TODAY())-MONTH(C223))/L223)+1)*L223))))</f>
        <v/>
      </c>
      <c r="F223" s="38" t="str">
        <f aca="true">IF(OR(E223="",H223="☑"),"",E223-TODAY())</f>
        <v/>
      </c>
      <c r="G223" s="32" t="str">
        <f aca="false">IF(H223="☑","Fatto",IF(E223="","",IF(F223&lt;0,"Scaduta",IF(F223&lt;=7,"Questa settimana",IF(F223&lt;=30,"Entro 30 giorni","Più avanti")))))</f>
        <v/>
      </c>
      <c r="H223" s="39"/>
      <c r="I223" s="30"/>
      <c r="J223" s="30"/>
      <c r="K223" s="30"/>
      <c r="L223" s="32" t="n">
        <f aca="false">IF(D223="Ogni mese",1,IF(D223="Ogni 3 mesi",3,IF(D223="Ogni 6 mesi",6,IF(D223="Ogni anno",12,0))))</f>
        <v>0</v>
      </c>
    </row>
    <row r="224" customFormat="false" ht="19.5" hidden="false" customHeight="true" outlineLevel="0" collapsed="false">
      <c r="A224" s="34"/>
      <c r="B224" s="34"/>
      <c r="C224" s="35"/>
      <c r="D224" s="34"/>
      <c r="E224" s="37" t="str">
        <f aca="true">IF(C224="","",IF(OR(L224=0,C224&gt;=TODAY()),C224,IF(EDATE(C224,INT(((YEAR(TODAY())-YEAR(C224))*12+MONTH(TODAY())-MONTH(C224))/L224)*L224)&gt;=TODAY(),EDATE(C224,INT(((YEAR(TODAY())-YEAR(C224))*12+MONTH(TODAY())-MONTH(C224))/L224)*L224),EDATE(C224,(INT(((YEAR(TODAY())-YEAR(C224))*12+MONTH(TODAY())-MONTH(C224))/L224)+1)*L224))))</f>
        <v/>
      </c>
      <c r="F224" s="38" t="str">
        <f aca="true">IF(OR(E224="",H224="☑"),"",E224-TODAY())</f>
        <v/>
      </c>
      <c r="G224" s="32" t="str">
        <f aca="false">IF(H224="☑","Fatto",IF(E224="","",IF(F224&lt;0,"Scaduta",IF(F224&lt;=7,"Questa settimana",IF(F224&lt;=30,"Entro 30 giorni","Più avanti")))))</f>
        <v/>
      </c>
      <c r="H224" s="40"/>
      <c r="I224" s="34"/>
      <c r="J224" s="34"/>
      <c r="K224" s="34"/>
      <c r="L224" s="32" t="n">
        <f aca="false">IF(D224="Ogni mese",1,IF(D224="Ogni 3 mesi",3,IF(D224="Ogni 6 mesi",6,IF(D224="Ogni anno",12,0))))</f>
        <v>0</v>
      </c>
    </row>
    <row r="225" customFormat="false" ht="19.5" hidden="false" customHeight="true" outlineLevel="0" collapsed="false">
      <c r="A225" s="30"/>
      <c r="B225" s="30"/>
      <c r="C225" s="31"/>
      <c r="D225" s="30"/>
      <c r="E225" s="37" t="str">
        <f aca="true">IF(C225="","",IF(OR(L225=0,C225&gt;=TODAY()),C225,IF(EDATE(C225,INT(((YEAR(TODAY())-YEAR(C225))*12+MONTH(TODAY())-MONTH(C225))/L225)*L225)&gt;=TODAY(),EDATE(C225,INT(((YEAR(TODAY())-YEAR(C225))*12+MONTH(TODAY())-MONTH(C225))/L225)*L225),EDATE(C225,(INT(((YEAR(TODAY())-YEAR(C225))*12+MONTH(TODAY())-MONTH(C225))/L225)+1)*L225))))</f>
        <v/>
      </c>
      <c r="F225" s="38" t="str">
        <f aca="true">IF(OR(E225="",H225="☑"),"",E225-TODAY())</f>
        <v/>
      </c>
      <c r="G225" s="32" t="str">
        <f aca="false">IF(H225="☑","Fatto",IF(E225="","",IF(F225&lt;0,"Scaduta",IF(F225&lt;=7,"Questa settimana",IF(F225&lt;=30,"Entro 30 giorni","Più avanti")))))</f>
        <v/>
      </c>
      <c r="H225" s="39"/>
      <c r="I225" s="30"/>
      <c r="J225" s="30"/>
      <c r="K225" s="30"/>
      <c r="L225" s="32" t="n">
        <f aca="false">IF(D225="Ogni mese",1,IF(D225="Ogni 3 mesi",3,IF(D225="Ogni 6 mesi",6,IF(D225="Ogni anno",12,0))))</f>
        <v>0</v>
      </c>
    </row>
    <row r="226" customFormat="false" ht="19.5" hidden="false" customHeight="true" outlineLevel="0" collapsed="false">
      <c r="A226" s="34"/>
      <c r="B226" s="34"/>
      <c r="C226" s="35"/>
      <c r="D226" s="34"/>
      <c r="E226" s="37" t="str">
        <f aca="true">IF(C226="","",IF(OR(L226=0,C226&gt;=TODAY()),C226,IF(EDATE(C226,INT(((YEAR(TODAY())-YEAR(C226))*12+MONTH(TODAY())-MONTH(C226))/L226)*L226)&gt;=TODAY(),EDATE(C226,INT(((YEAR(TODAY())-YEAR(C226))*12+MONTH(TODAY())-MONTH(C226))/L226)*L226),EDATE(C226,(INT(((YEAR(TODAY())-YEAR(C226))*12+MONTH(TODAY())-MONTH(C226))/L226)+1)*L226))))</f>
        <v/>
      </c>
      <c r="F226" s="38" t="str">
        <f aca="true">IF(OR(E226="",H226="☑"),"",E226-TODAY())</f>
        <v/>
      </c>
      <c r="G226" s="32" t="str">
        <f aca="false">IF(H226="☑","Fatto",IF(E226="","",IF(F226&lt;0,"Scaduta",IF(F226&lt;=7,"Questa settimana",IF(F226&lt;=30,"Entro 30 giorni","Più avanti")))))</f>
        <v/>
      </c>
      <c r="H226" s="40"/>
      <c r="I226" s="34"/>
      <c r="J226" s="34"/>
      <c r="K226" s="34"/>
      <c r="L226" s="32" t="n">
        <f aca="false">IF(D226="Ogni mese",1,IF(D226="Ogni 3 mesi",3,IF(D226="Ogni 6 mesi",6,IF(D226="Ogni anno",12,0))))</f>
        <v>0</v>
      </c>
    </row>
    <row r="227" customFormat="false" ht="19.5" hidden="false" customHeight="true" outlineLevel="0" collapsed="false">
      <c r="A227" s="30"/>
      <c r="B227" s="30"/>
      <c r="C227" s="31"/>
      <c r="D227" s="30"/>
      <c r="E227" s="37" t="str">
        <f aca="true">IF(C227="","",IF(OR(L227=0,C227&gt;=TODAY()),C227,IF(EDATE(C227,INT(((YEAR(TODAY())-YEAR(C227))*12+MONTH(TODAY())-MONTH(C227))/L227)*L227)&gt;=TODAY(),EDATE(C227,INT(((YEAR(TODAY())-YEAR(C227))*12+MONTH(TODAY())-MONTH(C227))/L227)*L227),EDATE(C227,(INT(((YEAR(TODAY())-YEAR(C227))*12+MONTH(TODAY())-MONTH(C227))/L227)+1)*L227))))</f>
        <v/>
      </c>
      <c r="F227" s="38" t="str">
        <f aca="true">IF(OR(E227="",H227="☑"),"",E227-TODAY())</f>
        <v/>
      </c>
      <c r="G227" s="32" t="str">
        <f aca="false">IF(H227="☑","Fatto",IF(E227="","",IF(F227&lt;0,"Scaduta",IF(F227&lt;=7,"Questa settimana",IF(F227&lt;=30,"Entro 30 giorni","Più avanti")))))</f>
        <v/>
      </c>
      <c r="H227" s="39"/>
      <c r="I227" s="30"/>
      <c r="J227" s="30"/>
      <c r="K227" s="30"/>
      <c r="L227" s="32" t="n">
        <f aca="false">IF(D227="Ogni mese",1,IF(D227="Ogni 3 mesi",3,IF(D227="Ogni 6 mesi",6,IF(D227="Ogni anno",12,0))))</f>
        <v>0</v>
      </c>
    </row>
    <row r="228" customFormat="false" ht="19.5" hidden="false" customHeight="true" outlineLevel="0" collapsed="false">
      <c r="A228" s="34"/>
      <c r="B228" s="34"/>
      <c r="C228" s="35"/>
      <c r="D228" s="34"/>
      <c r="E228" s="37" t="str">
        <f aca="true">IF(C228="","",IF(OR(L228=0,C228&gt;=TODAY()),C228,IF(EDATE(C228,INT(((YEAR(TODAY())-YEAR(C228))*12+MONTH(TODAY())-MONTH(C228))/L228)*L228)&gt;=TODAY(),EDATE(C228,INT(((YEAR(TODAY())-YEAR(C228))*12+MONTH(TODAY())-MONTH(C228))/L228)*L228),EDATE(C228,(INT(((YEAR(TODAY())-YEAR(C228))*12+MONTH(TODAY())-MONTH(C228))/L228)+1)*L228))))</f>
        <v/>
      </c>
      <c r="F228" s="38" t="str">
        <f aca="true">IF(OR(E228="",H228="☑"),"",E228-TODAY())</f>
        <v/>
      </c>
      <c r="G228" s="32" t="str">
        <f aca="false">IF(H228="☑","Fatto",IF(E228="","",IF(F228&lt;0,"Scaduta",IF(F228&lt;=7,"Questa settimana",IF(F228&lt;=30,"Entro 30 giorni","Più avanti")))))</f>
        <v/>
      </c>
      <c r="H228" s="40"/>
      <c r="I228" s="34"/>
      <c r="J228" s="34"/>
      <c r="K228" s="34"/>
      <c r="L228" s="32" t="n">
        <f aca="false">IF(D228="Ogni mese",1,IF(D228="Ogni 3 mesi",3,IF(D228="Ogni 6 mesi",6,IF(D228="Ogni anno",12,0))))</f>
        <v>0</v>
      </c>
    </row>
    <row r="229" customFormat="false" ht="19.5" hidden="false" customHeight="true" outlineLevel="0" collapsed="false">
      <c r="A229" s="30"/>
      <c r="B229" s="30"/>
      <c r="C229" s="31"/>
      <c r="D229" s="30"/>
      <c r="E229" s="37" t="str">
        <f aca="true">IF(C229="","",IF(OR(L229=0,C229&gt;=TODAY()),C229,IF(EDATE(C229,INT(((YEAR(TODAY())-YEAR(C229))*12+MONTH(TODAY())-MONTH(C229))/L229)*L229)&gt;=TODAY(),EDATE(C229,INT(((YEAR(TODAY())-YEAR(C229))*12+MONTH(TODAY())-MONTH(C229))/L229)*L229),EDATE(C229,(INT(((YEAR(TODAY())-YEAR(C229))*12+MONTH(TODAY())-MONTH(C229))/L229)+1)*L229))))</f>
        <v/>
      </c>
      <c r="F229" s="38" t="str">
        <f aca="true">IF(OR(E229="",H229="☑"),"",E229-TODAY())</f>
        <v/>
      </c>
      <c r="G229" s="32" t="str">
        <f aca="false">IF(H229="☑","Fatto",IF(E229="","",IF(F229&lt;0,"Scaduta",IF(F229&lt;=7,"Questa settimana",IF(F229&lt;=30,"Entro 30 giorni","Più avanti")))))</f>
        <v/>
      </c>
      <c r="H229" s="39"/>
      <c r="I229" s="30"/>
      <c r="J229" s="30"/>
      <c r="K229" s="30"/>
      <c r="L229" s="32" t="n">
        <f aca="false">IF(D229="Ogni mese",1,IF(D229="Ogni 3 mesi",3,IF(D229="Ogni 6 mesi",6,IF(D229="Ogni anno",12,0))))</f>
        <v>0</v>
      </c>
    </row>
    <row r="230" customFormat="false" ht="19.5" hidden="false" customHeight="true" outlineLevel="0" collapsed="false">
      <c r="A230" s="34"/>
      <c r="B230" s="34"/>
      <c r="C230" s="35"/>
      <c r="D230" s="34"/>
      <c r="E230" s="37" t="str">
        <f aca="true">IF(C230="","",IF(OR(L230=0,C230&gt;=TODAY()),C230,IF(EDATE(C230,INT(((YEAR(TODAY())-YEAR(C230))*12+MONTH(TODAY())-MONTH(C230))/L230)*L230)&gt;=TODAY(),EDATE(C230,INT(((YEAR(TODAY())-YEAR(C230))*12+MONTH(TODAY())-MONTH(C230))/L230)*L230),EDATE(C230,(INT(((YEAR(TODAY())-YEAR(C230))*12+MONTH(TODAY())-MONTH(C230))/L230)+1)*L230))))</f>
        <v/>
      </c>
      <c r="F230" s="38" t="str">
        <f aca="true">IF(OR(E230="",H230="☑"),"",E230-TODAY())</f>
        <v/>
      </c>
      <c r="G230" s="32" t="str">
        <f aca="false">IF(H230="☑","Fatto",IF(E230="","",IF(F230&lt;0,"Scaduta",IF(F230&lt;=7,"Questa settimana",IF(F230&lt;=30,"Entro 30 giorni","Più avanti")))))</f>
        <v/>
      </c>
      <c r="H230" s="40"/>
      <c r="I230" s="34"/>
      <c r="J230" s="34"/>
      <c r="K230" s="34"/>
      <c r="L230" s="32" t="n">
        <f aca="false">IF(D230="Ogni mese",1,IF(D230="Ogni 3 mesi",3,IF(D230="Ogni 6 mesi",6,IF(D230="Ogni anno",12,0))))</f>
        <v>0</v>
      </c>
    </row>
    <row r="231" customFormat="false" ht="19.5" hidden="false" customHeight="true" outlineLevel="0" collapsed="false">
      <c r="A231" s="30"/>
      <c r="B231" s="30"/>
      <c r="C231" s="31"/>
      <c r="D231" s="30"/>
      <c r="E231" s="37" t="str">
        <f aca="true">IF(C231="","",IF(OR(L231=0,C231&gt;=TODAY()),C231,IF(EDATE(C231,INT(((YEAR(TODAY())-YEAR(C231))*12+MONTH(TODAY())-MONTH(C231))/L231)*L231)&gt;=TODAY(),EDATE(C231,INT(((YEAR(TODAY())-YEAR(C231))*12+MONTH(TODAY())-MONTH(C231))/L231)*L231),EDATE(C231,(INT(((YEAR(TODAY())-YEAR(C231))*12+MONTH(TODAY())-MONTH(C231))/L231)+1)*L231))))</f>
        <v/>
      </c>
      <c r="F231" s="38" t="str">
        <f aca="true">IF(OR(E231="",H231="☑"),"",E231-TODAY())</f>
        <v/>
      </c>
      <c r="G231" s="32" t="str">
        <f aca="false">IF(H231="☑","Fatto",IF(E231="","",IF(F231&lt;0,"Scaduta",IF(F231&lt;=7,"Questa settimana",IF(F231&lt;=30,"Entro 30 giorni","Più avanti")))))</f>
        <v/>
      </c>
      <c r="H231" s="39"/>
      <c r="I231" s="30"/>
      <c r="J231" s="30"/>
      <c r="K231" s="30"/>
      <c r="L231" s="32" t="n">
        <f aca="false">IF(D231="Ogni mese",1,IF(D231="Ogni 3 mesi",3,IF(D231="Ogni 6 mesi",6,IF(D231="Ogni anno",12,0))))</f>
        <v>0</v>
      </c>
    </row>
    <row r="232" customFormat="false" ht="19.5" hidden="false" customHeight="true" outlineLevel="0" collapsed="false">
      <c r="A232" s="34"/>
      <c r="B232" s="34"/>
      <c r="C232" s="35"/>
      <c r="D232" s="34"/>
      <c r="E232" s="37" t="str">
        <f aca="true">IF(C232="","",IF(OR(L232=0,C232&gt;=TODAY()),C232,IF(EDATE(C232,INT(((YEAR(TODAY())-YEAR(C232))*12+MONTH(TODAY())-MONTH(C232))/L232)*L232)&gt;=TODAY(),EDATE(C232,INT(((YEAR(TODAY())-YEAR(C232))*12+MONTH(TODAY())-MONTH(C232))/L232)*L232),EDATE(C232,(INT(((YEAR(TODAY())-YEAR(C232))*12+MONTH(TODAY())-MONTH(C232))/L232)+1)*L232))))</f>
        <v/>
      </c>
      <c r="F232" s="38" t="str">
        <f aca="true">IF(OR(E232="",H232="☑"),"",E232-TODAY())</f>
        <v/>
      </c>
      <c r="G232" s="32" t="str">
        <f aca="false">IF(H232="☑","Fatto",IF(E232="","",IF(F232&lt;0,"Scaduta",IF(F232&lt;=7,"Questa settimana",IF(F232&lt;=30,"Entro 30 giorni","Più avanti")))))</f>
        <v/>
      </c>
      <c r="H232" s="40"/>
      <c r="I232" s="34"/>
      <c r="J232" s="34"/>
      <c r="K232" s="34"/>
      <c r="L232" s="32" t="n">
        <f aca="false">IF(D232="Ogni mese",1,IF(D232="Ogni 3 mesi",3,IF(D232="Ogni 6 mesi",6,IF(D232="Ogni anno",12,0))))</f>
        <v>0</v>
      </c>
    </row>
    <row r="233" customFormat="false" ht="19.5" hidden="false" customHeight="true" outlineLevel="0" collapsed="false">
      <c r="A233" s="30"/>
      <c r="B233" s="30"/>
      <c r="C233" s="31"/>
      <c r="D233" s="30"/>
      <c r="E233" s="37" t="str">
        <f aca="true">IF(C233="","",IF(OR(L233=0,C233&gt;=TODAY()),C233,IF(EDATE(C233,INT(((YEAR(TODAY())-YEAR(C233))*12+MONTH(TODAY())-MONTH(C233))/L233)*L233)&gt;=TODAY(),EDATE(C233,INT(((YEAR(TODAY())-YEAR(C233))*12+MONTH(TODAY())-MONTH(C233))/L233)*L233),EDATE(C233,(INT(((YEAR(TODAY())-YEAR(C233))*12+MONTH(TODAY())-MONTH(C233))/L233)+1)*L233))))</f>
        <v/>
      </c>
      <c r="F233" s="38" t="str">
        <f aca="true">IF(OR(E233="",H233="☑"),"",E233-TODAY())</f>
        <v/>
      </c>
      <c r="G233" s="32" t="str">
        <f aca="false">IF(H233="☑","Fatto",IF(E233="","",IF(F233&lt;0,"Scaduta",IF(F233&lt;=7,"Questa settimana",IF(F233&lt;=30,"Entro 30 giorni","Più avanti")))))</f>
        <v/>
      </c>
      <c r="H233" s="39"/>
      <c r="I233" s="30"/>
      <c r="J233" s="30"/>
      <c r="K233" s="30"/>
      <c r="L233" s="32" t="n">
        <f aca="false">IF(D233="Ogni mese",1,IF(D233="Ogni 3 mesi",3,IF(D233="Ogni 6 mesi",6,IF(D233="Ogni anno",12,0))))</f>
        <v>0</v>
      </c>
    </row>
    <row r="234" customFormat="false" ht="19.5" hidden="false" customHeight="true" outlineLevel="0" collapsed="false">
      <c r="A234" s="34"/>
      <c r="B234" s="34"/>
      <c r="C234" s="35"/>
      <c r="D234" s="34"/>
      <c r="E234" s="37" t="str">
        <f aca="true">IF(C234="","",IF(OR(L234=0,C234&gt;=TODAY()),C234,IF(EDATE(C234,INT(((YEAR(TODAY())-YEAR(C234))*12+MONTH(TODAY())-MONTH(C234))/L234)*L234)&gt;=TODAY(),EDATE(C234,INT(((YEAR(TODAY())-YEAR(C234))*12+MONTH(TODAY())-MONTH(C234))/L234)*L234),EDATE(C234,(INT(((YEAR(TODAY())-YEAR(C234))*12+MONTH(TODAY())-MONTH(C234))/L234)+1)*L234))))</f>
        <v/>
      </c>
      <c r="F234" s="38" t="str">
        <f aca="true">IF(OR(E234="",H234="☑"),"",E234-TODAY())</f>
        <v/>
      </c>
      <c r="G234" s="32" t="str">
        <f aca="false">IF(H234="☑","Fatto",IF(E234="","",IF(F234&lt;0,"Scaduta",IF(F234&lt;=7,"Questa settimana",IF(F234&lt;=30,"Entro 30 giorni","Più avanti")))))</f>
        <v/>
      </c>
      <c r="H234" s="40"/>
      <c r="I234" s="34"/>
      <c r="J234" s="34"/>
      <c r="K234" s="34"/>
      <c r="L234" s="32" t="n">
        <f aca="false">IF(D234="Ogni mese",1,IF(D234="Ogni 3 mesi",3,IF(D234="Ogni 6 mesi",6,IF(D234="Ogni anno",12,0))))</f>
        <v>0</v>
      </c>
    </row>
    <row r="235" customFormat="false" ht="19.5" hidden="false" customHeight="true" outlineLevel="0" collapsed="false">
      <c r="A235" s="30"/>
      <c r="B235" s="30"/>
      <c r="C235" s="31"/>
      <c r="D235" s="30"/>
      <c r="E235" s="37" t="str">
        <f aca="true">IF(C235="","",IF(OR(L235=0,C235&gt;=TODAY()),C235,IF(EDATE(C235,INT(((YEAR(TODAY())-YEAR(C235))*12+MONTH(TODAY())-MONTH(C235))/L235)*L235)&gt;=TODAY(),EDATE(C235,INT(((YEAR(TODAY())-YEAR(C235))*12+MONTH(TODAY())-MONTH(C235))/L235)*L235),EDATE(C235,(INT(((YEAR(TODAY())-YEAR(C235))*12+MONTH(TODAY())-MONTH(C235))/L235)+1)*L235))))</f>
        <v/>
      </c>
      <c r="F235" s="38" t="str">
        <f aca="true">IF(OR(E235="",H235="☑"),"",E235-TODAY())</f>
        <v/>
      </c>
      <c r="G235" s="32" t="str">
        <f aca="false">IF(H235="☑","Fatto",IF(E235="","",IF(F235&lt;0,"Scaduta",IF(F235&lt;=7,"Questa settimana",IF(F235&lt;=30,"Entro 30 giorni","Più avanti")))))</f>
        <v/>
      </c>
      <c r="H235" s="39"/>
      <c r="I235" s="30"/>
      <c r="J235" s="30"/>
      <c r="K235" s="30"/>
      <c r="L235" s="32" t="n">
        <f aca="false">IF(D235="Ogni mese",1,IF(D235="Ogni 3 mesi",3,IF(D235="Ogni 6 mesi",6,IF(D235="Ogni anno",12,0))))</f>
        <v>0</v>
      </c>
    </row>
    <row r="236" customFormat="false" ht="19.5" hidden="false" customHeight="true" outlineLevel="0" collapsed="false">
      <c r="A236" s="34"/>
      <c r="B236" s="34"/>
      <c r="C236" s="35"/>
      <c r="D236" s="34"/>
      <c r="E236" s="37" t="str">
        <f aca="true">IF(C236="","",IF(OR(L236=0,C236&gt;=TODAY()),C236,IF(EDATE(C236,INT(((YEAR(TODAY())-YEAR(C236))*12+MONTH(TODAY())-MONTH(C236))/L236)*L236)&gt;=TODAY(),EDATE(C236,INT(((YEAR(TODAY())-YEAR(C236))*12+MONTH(TODAY())-MONTH(C236))/L236)*L236),EDATE(C236,(INT(((YEAR(TODAY())-YEAR(C236))*12+MONTH(TODAY())-MONTH(C236))/L236)+1)*L236))))</f>
        <v/>
      </c>
      <c r="F236" s="38" t="str">
        <f aca="true">IF(OR(E236="",H236="☑"),"",E236-TODAY())</f>
        <v/>
      </c>
      <c r="G236" s="32" t="str">
        <f aca="false">IF(H236="☑","Fatto",IF(E236="","",IF(F236&lt;0,"Scaduta",IF(F236&lt;=7,"Questa settimana",IF(F236&lt;=30,"Entro 30 giorni","Più avanti")))))</f>
        <v/>
      </c>
      <c r="H236" s="40"/>
      <c r="I236" s="34"/>
      <c r="J236" s="34"/>
      <c r="K236" s="34"/>
      <c r="L236" s="32" t="n">
        <f aca="false">IF(D236="Ogni mese",1,IF(D236="Ogni 3 mesi",3,IF(D236="Ogni 6 mesi",6,IF(D236="Ogni anno",12,0))))</f>
        <v>0</v>
      </c>
    </row>
    <row r="237" customFormat="false" ht="19.5" hidden="false" customHeight="true" outlineLevel="0" collapsed="false">
      <c r="A237" s="30"/>
      <c r="B237" s="30"/>
      <c r="C237" s="31"/>
      <c r="D237" s="30"/>
      <c r="E237" s="37" t="str">
        <f aca="true">IF(C237="","",IF(OR(L237=0,C237&gt;=TODAY()),C237,IF(EDATE(C237,INT(((YEAR(TODAY())-YEAR(C237))*12+MONTH(TODAY())-MONTH(C237))/L237)*L237)&gt;=TODAY(),EDATE(C237,INT(((YEAR(TODAY())-YEAR(C237))*12+MONTH(TODAY())-MONTH(C237))/L237)*L237),EDATE(C237,(INT(((YEAR(TODAY())-YEAR(C237))*12+MONTH(TODAY())-MONTH(C237))/L237)+1)*L237))))</f>
        <v/>
      </c>
      <c r="F237" s="38" t="str">
        <f aca="true">IF(OR(E237="",H237="☑"),"",E237-TODAY())</f>
        <v/>
      </c>
      <c r="G237" s="32" t="str">
        <f aca="false">IF(H237="☑","Fatto",IF(E237="","",IF(F237&lt;0,"Scaduta",IF(F237&lt;=7,"Questa settimana",IF(F237&lt;=30,"Entro 30 giorni","Più avanti")))))</f>
        <v/>
      </c>
      <c r="H237" s="39"/>
      <c r="I237" s="30"/>
      <c r="J237" s="30"/>
      <c r="K237" s="30"/>
      <c r="L237" s="32" t="n">
        <f aca="false">IF(D237="Ogni mese",1,IF(D237="Ogni 3 mesi",3,IF(D237="Ogni 6 mesi",6,IF(D237="Ogni anno",12,0))))</f>
        <v>0</v>
      </c>
    </row>
    <row r="238" customFormat="false" ht="19.5" hidden="false" customHeight="true" outlineLevel="0" collapsed="false">
      <c r="A238" s="34"/>
      <c r="B238" s="34"/>
      <c r="C238" s="35"/>
      <c r="D238" s="34"/>
      <c r="E238" s="37" t="str">
        <f aca="true">IF(C238="","",IF(OR(L238=0,C238&gt;=TODAY()),C238,IF(EDATE(C238,INT(((YEAR(TODAY())-YEAR(C238))*12+MONTH(TODAY())-MONTH(C238))/L238)*L238)&gt;=TODAY(),EDATE(C238,INT(((YEAR(TODAY())-YEAR(C238))*12+MONTH(TODAY())-MONTH(C238))/L238)*L238),EDATE(C238,(INT(((YEAR(TODAY())-YEAR(C238))*12+MONTH(TODAY())-MONTH(C238))/L238)+1)*L238))))</f>
        <v/>
      </c>
      <c r="F238" s="38" t="str">
        <f aca="true">IF(OR(E238="",H238="☑"),"",E238-TODAY())</f>
        <v/>
      </c>
      <c r="G238" s="32" t="str">
        <f aca="false">IF(H238="☑","Fatto",IF(E238="","",IF(F238&lt;0,"Scaduta",IF(F238&lt;=7,"Questa settimana",IF(F238&lt;=30,"Entro 30 giorni","Più avanti")))))</f>
        <v/>
      </c>
      <c r="H238" s="40"/>
      <c r="I238" s="34"/>
      <c r="J238" s="34"/>
      <c r="K238" s="34"/>
      <c r="L238" s="32" t="n">
        <f aca="false">IF(D238="Ogni mese",1,IF(D238="Ogni 3 mesi",3,IF(D238="Ogni 6 mesi",6,IF(D238="Ogni anno",12,0))))</f>
        <v>0</v>
      </c>
    </row>
    <row r="239" customFormat="false" ht="19.5" hidden="false" customHeight="true" outlineLevel="0" collapsed="false">
      <c r="A239" s="30"/>
      <c r="B239" s="30"/>
      <c r="C239" s="31"/>
      <c r="D239" s="30"/>
      <c r="E239" s="37" t="str">
        <f aca="true">IF(C239="","",IF(OR(L239=0,C239&gt;=TODAY()),C239,IF(EDATE(C239,INT(((YEAR(TODAY())-YEAR(C239))*12+MONTH(TODAY())-MONTH(C239))/L239)*L239)&gt;=TODAY(),EDATE(C239,INT(((YEAR(TODAY())-YEAR(C239))*12+MONTH(TODAY())-MONTH(C239))/L239)*L239),EDATE(C239,(INT(((YEAR(TODAY())-YEAR(C239))*12+MONTH(TODAY())-MONTH(C239))/L239)+1)*L239))))</f>
        <v/>
      </c>
      <c r="F239" s="38" t="str">
        <f aca="true">IF(OR(E239="",H239="☑"),"",E239-TODAY())</f>
        <v/>
      </c>
      <c r="G239" s="32" t="str">
        <f aca="false">IF(H239="☑","Fatto",IF(E239="","",IF(F239&lt;0,"Scaduta",IF(F239&lt;=7,"Questa settimana",IF(F239&lt;=30,"Entro 30 giorni","Più avanti")))))</f>
        <v/>
      </c>
      <c r="H239" s="39"/>
      <c r="I239" s="30"/>
      <c r="J239" s="30"/>
      <c r="K239" s="30"/>
      <c r="L239" s="32" t="n">
        <f aca="false">IF(D239="Ogni mese",1,IF(D239="Ogni 3 mesi",3,IF(D239="Ogni 6 mesi",6,IF(D239="Ogni anno",12,0))))</f>
        <v>0</v>
      </c>
    </row>
    <row r="240" customFormat="false" ht="19.5" hidden="false" customHeight="true" outlineLevel="0" collapsed="false">
      <c r="A240" s="34"/>
      <c r="B240" s="34"/>
      <c r="C240" s="35"/>
      <c r="D240" s="34"/>
      <c r="E240" s="37" t="str">
        <f aca="true">IF(C240="","",IF(OR(L240=0,C240&gt;=TODAY()),C240,IF(EDATE(C240,INT(((YEAR(TODAY())-YEAR(C240))*12+MONTH(TODAY())-MONTH(C240))/L240)*L240)&gt;=TODAY(),EDATE(C240,INT(((YEAR(TODAY())-YEAR(C240))*12+MONTH(TODAY())-MONTH(C240))/L240)*L240),EDATE(C240,(INT(((YEAR(TODAY())-YEAR(C240))*12+MONTH(TODAY())-MONTH(C240))/L240)+1)*L240))))</f>
        <v/>
      </c>
      <c r="F240" s="38" t="str">
        <f aca="true">IF(OR(E240="",H240="☑"),"",E240-TODAY())</f>
        <v/>
      </c>
      <c r="G240" s="32" t="str">
        <f aca="false">IF(H240="☑","Fatto",IF(E240="","",IF(F240&lt;0,"Scaduta",IF(F240&lt;=7,"Questa settimana",IF(F240&lt;=30,"Entro 30 giorni","Più avanti")))))</f>
        <v/>
      </c>
      <c r="H240" s="40"/>
      <c r="I240" s="34"/>
      <c r="J240" s="34"/>
      <c r="K240" s="34"/>
      <c r="L240" s="32" t="n">
        <f aca="false">IF(D240="Ogni mese",1,IF(D240="Ogni 3 mesi",3,IF(D240="Ogni 6 mesi",6,IF(D240="Ogni anno",12,0))))</f>
        <v>0</v>
      </c>
    </row>
    <row r="241" customFormat="false" ht="19.5" hidden="false" customHeight="true" outlineLevel="0" collapsed="false">
      <c r="A241" s="30"/>
      <c r="B241" s="30"/>
      <c r="C241" s="31"/>
      <c r="D241" s="30"/>
      <c r="E241" s="37" t="str">
        <f aca="true">IF(C241="","",IF(OR(L241=0,C241&gt;=TODAY()),C241,IF(EDATE(C241,INT(((YEAR(TODAY())-YEAR(C241))*12+MONTH(TODAY())-MONTH(C241))/L241)*L241)&gt;=TODAY(),EDATE(C241,INT(((YEAR(TODAY())-YEAR(C241))*12+MONTH(TODAY())-MONTH(C241))/L241)*L241),EDATE(C241,(INT(((YEAR(TODAY())-YEAR(C241))*12+MONTH(TODAY())-MONTH(C241))/L241)+1)*L241))))</f>
        <v/>
      </c>
      <c r="F241" s="38" t="str">
        <f aca="true">IF(OR(E241="",H241="☑"),"",E241-TODAY())</f>
        <v/>
      </c>
      <c r="G241" s="32" t="str">
        <f aca="false">IF(H241="☑","Fatto",IF(E241="","",IF(F241&lt;0,"Scaduta",IF(F241&lt;=7,"Questa settimana",IF(F241&lt;=30,"Entro 30 giorni","Più avanti")))))</f>
        <v/>
      </c>
      <c r="H241" s="39"/>
      <c r="I241" s="30"/>
      <c r="J241" s="30"/>
      <c r="K241" s="30"/>
      <c r="L241" s="32" t="n">
        <f aca="false">IF(D241="Ogni mese",1,IF(D241="Ogni 3 mesi",3,IF(D241="Ogni 6 mesi",6,IF(D241="Ogni anno",12,0))))</f>
        <v>0</v>
      </c>
    </row>
    <row r="242" customFormat="false" ht="19.5" hidden="false" customHeight="true" outlineLevel="0" collapsed="false">
      <c r="A242" s="34"/>
      <c r="B242" s="34"/>
      <c r="C242" s="35"/>
      <c r="D242" s="34"/>
      <c r="E242" s="37" t="str">
        <f aca="true">IF(C242="","",IF(OR(L242=0,C242&gt;=TODAY()),C242,IF(EDATE(C242,INT(((YEAR(TODAY())-YEAR(C242))*12+MONTH(TODAY())-MONTH(C242))/L242)*L242)&gt;=TODAY(),EDATE(C242,INT(((YEAR(TODAY())-YEAR(C242))*12+MONTH(TODAY())-MONTH(C242))/L242)*L242),EDATE(C242,(INT(((YEAR(TODAY())-YEAR(C242))*12+MONTH(TODAY())-MONTH(C242))/L242)+1)*L242))))</f>
        <v/>
      </c>
      <c r="F242" s="38" t="str">
        <f aca="true">IF(OR(E242="",H242="☑"),"",E242-TODAY())</f>
        <v/>
      </c>
      <c r="G242" s="32" t="str">
        <f aca="false">IF(H242="☑","Fatto",IF(E242="","",IF(F242&lt;0,"Scaduta",IF(F242&lt;=7,"Questa settimana",IF(F242&lt;=30,"Entro 30 giorni","Più avanti")))))</f>
        <v/>
      </c>
      <c r="H242" s="40"/>
      <c r="I242" s="34"/>
      <c r="J242" s="34"/>
      <c r="K242" s="34"/>
      <c r="L242" s="32" t="n">
        <f aca="false">IF(D242="Ogni mese",1,IF(D242="Ogni 3 mesi",3,IF(D242="Ogni 6 mesi",6,IF(D242="Ogni anno",12,0))))</f>
        <v>0</v>
      </c>
    </row>
    <row r="243" customFormat="false" ht="19.5" hidden="false" customHeight="true" outlineLevel="0" collapsed="false">
      <c r="A243" s="30"/>
      <c r="B243" s="30"/>
      <c r="C243" s="31"/>
      <c r="D243" s="30"/>
      <c r="E243" s="37" t="str">
        <f aca="true">IF(C243="","",IF(OR(L243=0,C243&gt;=TODAY()),C243,IF(EDATE(C243,INT(((YEAR(TODAY())-YEAR(C243))*12+MONTH(TODAY())-MONTH(C243))/L243)*L243)&gt;=TODAY(),EDATE(C243,INT(((YEAR(TODAY())-YEAR(C243))*12+MONTH(TODAY())-MONTH(C243))/L243)*L243),EDATE(C243,(INT(((YEAR(TODAY())-YEAR(C243))*12+MONTH(TODAY())-MONTH(C243))/L243)+1)*L243))))</f>
        <v/>
      </c>
      <c r="F243" s="38" t="str">
        <f aca="true">IF(OR(E243="",H243="☑"),"",E243-TODAY())</f>
        <v/>
      </c>
      <c r="G243" s="32" t="str">
        <f aca="false">IF(H243="☑","Fatto",IF(E243="","",IF(F243&lt;0,"Scaduta",IF(F243&lt;=7,"Questa settimana",IF(F243&lt;=30,"Entro 30 giorni","Più avanti")))))</f>
        <v/>
      </c>
      <c r="H243" s="39"/>
      <c r="I243" s="30"/>
      <c r="J243" s="30"/>
      <c r="K243" s="30"/>
      <c r="L243" s="32" t="n">
        <f aca="false">IF(D243="Ogni mese",1,IF(D243="Ogni 3 mesi",3,IF(D243="Ogni 6 mesi",6,IF(D243="Ogni anno",12,0))))</f>
        <v>0</v>
      </c>
    </row>
    <row r="244" customFormat="false" ht="19.5" hidden="false" customHeight="true" outlineLevel="0" collapsed="false">
      <c r="A244" s="34"/>
      <c r="B244" s="34"/>
      <c r="C244" s="35"/>
      <c r="D244" s="34"/>
      <c r="E244" s="37" t="str">
        <f aca="true">IF(C244="","",IF(OR(L244=0,C244&gt;=TODAY()),C244,IF(EDATE(C244,INT(((YEAR(TODAY())-YEAR(C244))*12+MONTH(TODAY())-MONTH(C244))/L244)*L244)&gt;=TODAY(),EDATE(C244,INT(((YEAR(TODAY())-YEAR(C244))*12+MONTH(TODAY())-MONTH(C244))/L244)*L244),EDATE(C244,(INT(((YEAR(TODAY())-YEAR(C244))*12+MONTH(TODAY())-MONTH(C244))/L244)+1)*L244))))</f>
        <v/>
      </c>
      <c r="F244" s="38" t="str">
        <f aca="true">IF(OR(E244="",H244="☑"),"",E244-TODAY())</f>
        <v/>
      </c>
      <c r="G244" s="32" t="str">
        <f aca="false">IF(H244="☑","Fatto",IF(E244="","",IF(F244&lt;0,"Scaduta",IF(F244&lt;=7,"Questa settimana",IF(F244&lt;=30,"Entro 30 giorni","Più avanti")))))</f>
        <v/>
      </c>
      <c r="H244" s="40"/>
      <c r="I244" s="34"/>
      <c r="J244" s="34"/>
      <c r="K244" s="34"/>
      <c r="L244" s="32" t="n">
        <f aca="false">IF(D244="Ogni mese",1,IF(D244="Ogni 3 mesi",3,IF(D244="Ogni 6 mesi",6,IF(D244="Ogni anno",12,0))))</f>
        <v>0</v>
      </c>
    </row>
    <row r="245" customFormat="false" ht="19.5" hidden="false" customHeight="true" outlineLevel="0" collapsed="false">
      <c r="A245" s="30"/>
      <c r="B245" s="30"/>
      <c r="C245" s="31"/>
      <c r="D245" s="30"/>
      <c r="E245" s="37" t="str">
        <f aca="true">IF(C245="","",IF(OR(L245=0,C245&gt;=TODAY()),C245,IF(EDATE(C245,INT(((YEAR(TODAY())-YEAR(C245))*12+MONTH(TODAY())-MONTH(C245))/L245)*L245)&gt;=TODAY(),EDATE(C245,INT(((YEAR(TODAY())-YEAR(C245))*12+MONTH(TODAY())-MONTH(C245))/L245)*L245),EDATE(C245,(INT(((YEAR(TODAY())-YEAR(C245))*12+MONTH(TODAY())-MONTH(C245))/L245)+1)*L245))))</f>
        <v/>
      </c>
      <c r="F245" s="38" t="str">
        <f aca="true">IF(OR(E245="",H245="☑"),"",E245-TODAY())</f>
        <v/>
      </c>
      <c r="G245" s="32" t="str">
        <f aca="false">IF(H245="☑","Fatto",IF(E245="","",IF(F245&lt;0,"Scaduta",IF(F245&lt;=7,"Questa settimana",IF(F245&lt;=30,"Entro 30 giorni","Più avanti")))))</f>
        <v/>
      </c>
      <c r="H245" s="39"/>
      <c r="I245" s="30"/>
      <c r="J245" s="30"/>
      <c r="K245" s="30"/>
      <c r="L245" s="32" t="n">
        <f aca="false">IF(D245="Ogni mese",1,IF(D245="Ogni 3 mesi",3,IF(D245="Ogni 6 mesi",6,IF(D245="Ogni anno",12,0))))</f>
        <v>0</v>
      </c>
    </row>
    <row r="246" customFormat="false" ht="19.5" hidden="false" customHeight="true" outlineLevel="0" collapsed="false">
      <c r="A246" s="34"/>
      <c r="B246" s="34"/>
      <c r="C246" s="35"/>
      <c r="D246" s="34"/>
      <c r="E246" s="37" t="str">
        <f aca="true">IF(C246="","",IF(OR(L246=0,C246&gt;=TODAY()),C246,IF(EDATE(C246,INT(((YEAR(TODAY())-YEAR(C246))*12+MONTH(TODAY())-MONTH(C246))/L246)*L246)&gt;=TODAY(),EDATE(C246,INT(((YEAR(TODAY())-YEAR(C246))*12+MONTH(TODAY())-MONTH(C246))/L246)*L246),EDATE(C246,(INT(((YEAR(TODAY())-YEAR(C246))*12+MONTH(TODAY())-MONTH(C246))/L246)+1)*L246))))</f>
        <v/>
      </c>
      <c r="F246" s="38" t="str">
        <f aca="true">IF(OR(E246="",H246="☑"),"",E246-TODAY())</f>
        <v/>
      </c>
      <c r="G246" s="32" t="str">
        <f aca="false">IF(H246="☑","Fatto",IF(E246="","",IF(F246&lt;0,"Scaduta",IF(F246&lt;=7,"Questa settimana",IF(F246&lt;=30,"Entro 30 giorni","Più avanti")))))</f>
        <v/>
      </c>
      <c r="H246" s="40"/>
      <c r="I246" s="34"/>
      <c r="J246" s="34"/>
      <c r="K246" s="34"/>
      <c r="L246" s="32" t="n">
        <f aca="false">IF(D246="Ogni mese",1,IF(D246="Ogni 3 mesi",3,IF(D246="Ogni 6 mesi",6,IF(D246="Ogni anno",12,0))))</f>
        <v>0</v>
      </c>
    </row>
    <row r="247" customFormat="false" ht="19.5" hidden="false" customHeight="true" outlineLevel="0" collapsed="false">
      <c r="A247" s="30"/>
      <c r="B247" s="30"/>
      <c r="C247" s="31"/>
      <c r="D247" s="30"/>
      <c r="E247" s="37" t="str">
        <f aca="true">IF(C247="","",IF(OR(L247=0,C247&gt;=TODAY()),C247,IF(EDATE(C247,INT(((YEAR(TODAY())-YEAR(C247))*12+MONTH(TODAY())-MONTH(C247))/L247)*L247)&gt;=TODAY(),EDATE(C247,INT(((YEAR(TODAY())-YEAR(C247))*12+MONTH(TODAY())-MONTH(C247))/L247)*L247),EDATE(C247,(INT(((YEAR(TODAY())-YEAR(C247))*12+MONTH(TODAY())-MONTH(C247))/L247)+1)*L247))))</f>
        <v/>
      </c>
      <c r="F247" s="38" t="str">
        <f aca="true">IF(OR(E247="",H247="☑"),"",E247-TODAY())</f>
        <v/>
      </c>
      <c r="G247" s="32" t="str">
        <f aca="false">IF(H247="☑","Fatto",IF(E247="","",IF(F247&lt;0,"Scaduta",IF(F247&lt;=7,"Questa settimana",IF(F247&lt;=30,"Entro 30 giorni","Più avanti")))))</f>
        <v/>
      </c>
      <c r="H247" s="39"/>
      <c r="I247" s="30"/>
      <c r="J247" s="30"/>
      <c r="K247" s="30"/>
      <c r="L247" s="32" t="n">
        <f aca="false">IF(D247="Ogni mese",1,IF(D247="Ogni 3 mesi",3,IF(D247="Ogni 6 mesi",6,IF(D247="Ogni anno",12,0))))</f>
        <v>0</v>
      </c>
    </row>
    <row r="248" customFormat="false" ht="19.5" hidden="false" customHeight="true" outlineLevel="0" collapsed="false">
      <c r="A248" s="34"/>
      <c r="B248" s="34"/>
      <c r="C248" s="35"/>
      <c r="D248" s="34"/>
      <c r="E248" s="37" t="str">
        <f aca="true">IF(C248="","",IF(OR(L248=0,C248&gt;=TODAY()),C248,IF(EDATE(C248,INT(((YEAR(TODAY())-YEAR(C248))*12+MONTH(TODAY())-MONTH(C248))/L248)*L248)&gt;=TODAY(),EDATE(C248,INT(((YEAR(TODAY())-YEAR(C248))*12+MONTH(TODAY())-MONTH(C248))/L248)*L248),EDATE(C248,(INT(((YEAR(TODAY())-YEAR(C248))*12+MONTH(TODAY())-MONTH(C248))/L248)+1)*L248))))</f>
        <v/>
      </c>
      <c r="F248" s="38" t="str">
        <f aca="true">IF(OR(E248="",H248="☑"),"",E248-TODAY())</f>
        <v/>
      </c>
      <c r="G248" s="32" t="str">
        <f aca="false">IF(H248="☑","Fatto",IF(E248="","",IF(F248&lt;0,"Scaduta",IF(F248&lt;=7,"Questa settimana",IF(F248&lt;=30,"Entro 30 giorni","Più avanti")))))</f>
        <v/>
      </c>
      <c r="H248" s="40"/>
      <c r="I248" s="34"/>
      <c r="J248" s="34"/>
      <c r="K248" s="34"/>
      <c r="L248" s="32" t="n">
        <f aca="false">IF(D248="Ogni mese",1,IF(D248="Ogni 3 mesi",3,IF(D248="Ogni 6 mesi",6,IF(D248="Ogni anno",12,0))))</f>
        <v>0</v>
      </c>
    </row>
    <row r="249" customFormat="false" ht="19.5" hidden="false" customHeight="true" outlineLevel="0" collapsed="false">
      <c r="A249" s="30"/>
      <c r="B249" s="30"/>
      <c r="C249" s="31"/>
      <c r="D249" s="30"/>
      <c r="E249" s="37" t="str">
        <f aca="true">IF(C249="","",IF(OR(L249=0,C249&gt;=TODAY()),C249,IF(EDATE(C249,INT(((YEAR(TODAY())-YEAR(C249))*12+MONTH(TODAY())-MONTH(C249))/L249)*L249)&gt;=TODAY(),EDATE(C249,INT(((YEAR(TODAY())-YEAR(C249))*12+MONTH(TODAY())-MONTH(C249))/L249)*L249),EDATE(C249,(INT(((YEAR(TODAY())-YEAR(C249))*12+MONTH(TODAY())-MONTH(C249))/L249)+1)*L249))))</f>
        <v/>
      </c>
      <c r="F249" s="38" t="str">
        <f aca="true">IF(OR(E249="",H249="☑"),"",E249-TODAY())</f>
        <v/>
      </c>
      <c r="G249" s="32" t="str">
        <f aca="false">IF(H249="☑","Fatto",IF(E249="","",IF(F249&lt;0,"Scaduta",IF(F249&lt;=7,"Questa settimana",IF(F249&lt;=30,"Entro 30 giorni","Più avanti")))))</f>
        <v/>
      </c>
      <c r="H249" s="39"/>
      <c r="I249" s="30"/>
      <c r="J249" s="30"/>
      <c r="K249" s="30"/>
      <c r="L249" s="32" t="n">
        <f aca="false">IF(D249="Ogni mese",1,IF(D249="Ogni 3 mesi",3,IF(D249="Ogni 6 mesi",6,IF(D249="Ogni anno",12,0))))</f>
        <v>0</v>
      </c>
    </row>
    <row r="250" customFormat="false" ht="19.5" hidden="false" customHeight="true" outlineLevel="0" collapsed="false">
      <c r="A250" s="34"/>
      <c r="B250" s="34"/>
      <c r="C250" s="35"/>
      <c r="D250" s="34"/>
      <c r="E250" s="37" t="str">
        <f aca="true">IF(C250="","",IF(OR(L250=0,C250&gt;=TODAY()),C250,IF(EDATE(C250,INT(((YEAR(TODAY())-YEAR(C250))*12+MONTH(TODAY())-MONTH(C250))/L250)*L250)&gt;=TODAY(),EDATE(C250,INT(((YEAR(TODAY())-YEAR(C250))*12+MONTH(TODAY())-MONTH(C250))/L250)*L250),EDATE(C250,(INT(((YEAR(TODAY())-YEAR(C250))*12+MONTH(TODAY())-MONTH(C250))/L250)+1)*L250))))</f>
        <v/>
      </c>
      <c r="F250" s="38" t="str">
        <f aca="true">IF(OR(E250="",H250="☑"),"",E250-TODAY())</f>
        <v/>
      </c>
      <c r="G250" s="32" t="str">
        <f aca="false">IF(H250="☑","Fatto",IF(E250="","",IF(F250&lt;0,"Scaduta",IF(F250&lt;=7,"Questa settimana",IF(F250&lt;=30,"Entro 30 giorni","Più avanti")))))</f>
        <v/>
      </c>
      <c r="H250" s="40"/>
      <c r="I250" s="34"/>
      <c r="J250" s="34"/>
      <c r="K250" s="34"/>
      <c r="L250" s="32" t="n">
        <f aca="false">IF(D250="Ogni mese",1,IF(D250="Ogni 3 mesi",3,IF(D250="Ogni 6 mesi",6,IF(D250="Ogni anno",12,0))))</f>
        <v>0</v>
      </c>
    </row>
    <row r="251" customFormat="false" ht="19.5" hidden="false" customHeight="true" outlineLevel="0" collapsed="false">
      <c r="A251" s="30"/>
      <c r="B251" s="30"/>
      <c r="C251" s="31"/>
      <c r="D251" s="30"/>
      <c r="E251" s="37" t="str">
        <f aca="true">IF(C251="","",IF(OR(L251=0,C251&gt;=TODAY()),C251,IF(EDATE(C251,INT(((YEAR(TODAY())-YEAR(C251))*12+MONTH(TODAY())-MONTH(C251))/L251)*L251)&gt;=TODAY(),EDATE(C251,INT(((YEAR(TODAY())-YEAR(C251))*12+MONTH(TODAY())-MONTH(C251))/L251)*L251),EDATE(C251,(INT(((YEAR(TODAY())-YEAR(C251))*12+MONTH(TODAY())-MONTH(C251))/L251)+1)*L251))))</f>
        <v/>
      </c>
      <c r="F251" s="38" t="str">
        <f aca="true">IF(OR(E251="",H251="☑"),"",E251-TODAY())</f>
        <v/>
      </c>
      <c r="G251" s="32" t="str">
        <f aca="false">IF(H251="☑","Fatto",IF(E251="","",IF(F251&lt;0,"Scaduta",IF(F251&lt;=7,"Questa settimana",IF(F251&lt;=30,"Entro 30 giorni","Più avanti")))))</f>
        <v/>
      </c>
      <c r="H251" s="39"/>
      <c r="I251" s="30"/>
      <c r="J251" s="30"/>
      <c r="K251" s="30"/>
      <c r="L251" s="32" t="n">
        <f aca="false">IF(D251="Ogni mese",1,IF(D251="Ogni 3 mesi",3,IF(D251="Ogni 6 mesi",6,IF(D251="Ogni anno",12,0))))</f>
        <v>0</v>
      </c>
    </row>
    <row r="252" customFormat="false" ht="19.5" hidden="false" customHeight="true" outlineLevel="0" collapsed="false">
      <c r="A252" s="34"/>
      <c r="B252" s="34"/>
      <c r="C252" s="35"/>
      <c r="D252" s="34"/>
      <c r="E252" s="37" t="str">
        <f aca="true">IF(C252="","",IF(OR(L252=0,C252&gt;=TODAY()),C252,IF(EDATE(C252,INT(((YEAR(TODAY())-YEAR(C252))*12+MONTH(TODAY())-MONTH(C252))/L252)*L252)&gt;=TODAY(),EDATE(C252,INT(((YEAR(TODAY())-YEAR(C252))*12+MONTH(TODAY())-MONTH(C252))/L252)*L252),EDATE(C252,(INT(((YEAR(TODAY())-YEAR(C252))*12+MONTH(TODAY())-MONTH(C252))/L252)+1)*L252))))</f>
        <v/>
      </c>
      <c r="F252" s="38" t="str">
        <f aca="true">IF(OR(E252="",H252="☑"),"",E252-TODAY())</f>
        <v/>
      </c>
      <c r="G252" s="32" t="str">
        <f aca="false">IF(H252="☑","Fatto",IF(E252="","",IF(F252&lt;0,"Scaduta",IF(F252&lt;=7,"Questa settimana",IF(F252&lt;=30,"Entro 30 giorni","Più avanti")))))</f>
        <v/>
      </c>
      <c r="H252" s="40"/>
      <c r="I252" s="34"/>
      <c r="J252" s="34"/>
      <c r="K252" s="34"/>
      <c r="L252" s="32" t="n">
        <f aca="false">IF(D252="Ogni mese",1,IF(D252="Ogni 3 mesi",3,IF(D252="Ogni 6 mesi",6,IF(D252="Ogni anno",12,0))))</f>
        <v>0</v>
      </c>
    </row>
    <row r="253" customFormat="false" ht="19.5" hidden="false" customHeight="true" outlineLevel="0" collapsed="false">
      <c r="A253" s="30"/>
      <c r="B253" s="30"/>
      <c r="C253" s="31"/>
      <c r="D253" s="30"/>
      <c r="E253" s="37" t="str">
        <f aca="true">IF(C253="","",IF(OR(L253=0,C253&gt;=TODAY()),C253,IF(EDATE(C253,INT(((YEAR(TODAY())-YEAR(C253))*12+MONTH(TODAY())-MONTH(C253))/L253)*L253)&gt;=TODAY(),EDATE(C253,INT(((YEAR(TODAY())-YEAR(C253))*12+MONTH(TODAY())-MONTH(C253))/L253)*L253),EDATE(C253,(INT(((YEAR(TODAY())-YEAR(C253))*12+MONTH(TODAY())-MONTH(C253))/L253)+1)*L253))))</f>
        <v/>
      </c>
      <c r="F253" s="38" t="str">
        <f aca="true">IF(OR(E253="",H253="☑"),"",E253-TODAY())</f>
        <v/>
      </c>
      <c r="G253" s="32" t="str">
        <f aca="false">IF(H253="☑","Fatto",IF(E253="","",IF(F253&lt;0,"Scaduta",IF(F253&lt;=7,"Questa settimana",IF(F253&lt;=30,"Entro 30 giorni","Più avanti")))))</f>
        <v/>
      </c>
      <c r="H253" s="39"/>
      <c r="I253" s="30"/>
      <c r="J253" s="30"/>
      <c r="K253" s="30"/>
      <c r="L253" s="32" t="n">
        <f aca="false">IF(D253="Ogni mese",1,IF(D253="Ogni 3 mesi",3,IF(D253="Ogni 6 mesi",6,IF(D253="Ogni anno",12,0))))</f>
        <v>0</v>
      </c>
    </row>
    <row r="254" customFormat="false" ht="19.5" hidden="false" customHeight="true" outlineLevel="0" collapsed="false">
      <c r="A254" s="34"/>
      <c r="B254" s="34"/>
      <c r="C254" s="35"/>
      <c r="D254" s="34"/>
      <c r="E254" s="37" t="str">
        <f aca="true">IF(C254="","",IF(OR(L254=0,C254&gt;=TODAY()),C254,IF(EDATE(C254,INT(((YEAR(TODAY())-YEAR(C254))*12+MONTH(TODAY())-MONTH(C254))/L254)*L254)&gt;=TODAY(),EDATE(C254,INT(((YEAR(TODAY())-YEAR(C254))*12+MONTH(TODAY())-MONTH(C254))/L254)*L254),EDATE(C254,(INT(((YEAR(TODAY())-YEAR(C254))*12+MONTH(TODAY())-MONTH(C254))/L254)+1)*L254))))</f>
        <v/>
      </c>
      <c r="F254" s="38" t="str">
        <f aca="true">IF(OR(E254="",H254="☑"),"",E254-TODAY())</f>
        <v/>
      </c>
      <c r="G254" s="32" t="str">
        <f aca="false">IF(H254="☑","Fatto",IF(E254="","",IF(F254&lt;0,"Scaduta",IF(F254&lt;=7,"Questa settimana",IF(F254&lt;=30,"Entro 30 giorni","Più avanti")))))</f>
        <v/>
      </c>
      <c r="H254" s="40"/>
      <c r="I254" s="34"/>
      <c r="J254" s="34"/>
      <c r="K254" s="34"/>
      <c r="L254" s="32" t="n">
        <f aca="false">IF(D254="Ogni mese",1,IF(D254="Ogni 3 mesi",3,IF(D254="Ogni 6 mesi",6,IF(D254="Ogni anno",12,0))))</f>
        <v>0</v>
      </c>
    </row>
    <row r="255" customFormat="false" ht="19.5" hidden="false" customHeight="true" outlineLevel="0" collapsed="false">
      <c r="A255" s="30"/>
      <c r="B255" s="30"/>
      <c r="C255" s="31"/>
      <c r="D255" s="30"/>
      <c r="E255" s="37" t="str">
        <f aca="true">IF(C255="","",IF(OR(L255=0,C255&gt;=TODAY()),C255,IF(EDATE(C255,INT(((YEAR(TODAY())-YEAR(C255))*12+MONTH(TODAY())-MONTH(C255))/L255)*L255)&gt;=TODAY(),EDATE(C255,INT(((YEAR(TODAY())-YEAR(C255))*12+MONTH(TODAY())-MONTH(C255))/L255)*L255),EDATE(C255,(INT(((YEAR(TODAY())-YEAR(C255))*12+MONTH(TODAY())-MONTH(C255))/L255)+1)*L255))))</f>
        <v/>
      </c>
      <c r="F255" s="38" t="str">
        <f aca="true">IF(OR(E255="",H255="☑"),"",E255-TODAY())</f>
        <v/>
      </c>
      <c r="G255" s="32" t="str">
        <f aca="false">IF(H255="☑","Fatto",IF(E255="","",IF(F255&lt;0,"Scaduta",IF(F255&lt;=7,"Questa settimana",IF(F255&lt;=30,"Entro 30 giorni","Più avanti")))))</f>
        <v/>
      </c>
      <c r="H255" s="39"/>
      <c r="I255" s="30"/>
      <c r="J255" s="30"/>
      <c r="K255" s="30"/>
      <c r="L255" s="32" t="n">
        <f aca="false">IF(D255="Ogni mese",1,IF(D255="Ogni 3 mesi",3,IF(D255="Ogni 6 mesi",6,IF(D255="Ogni anno",12,0))))</f>
        <v>0</v>
      </c>
    </row>
    <row r="256" customFormat="false" ht="19.5" hidden="false" customHeight="true" outlineLevel="0" collapsed="false">
      <c r="A256" s="34"/>
      <c r="B256" s="34"/>
      <c r="C256" s="35"/>
      <c r="D256" s="34"/>
      <c r="E256" s="37" t="str">
        <f aca="true">IF(C256="","",IF(OR(L256=0,C256&gt;=TODAY()),C256,IF(EDATE(C256,INT(((YEAR(TODAY())-YEAR(C256))*12+MONTH(TODAY())-MONTH(C256))/L256)*L256)&gt;=TODAY(),EDATE(C256,INT(((YEAR(TODAY())-YEAR(C256))*12+MONTH(TODAY())-MONTH(C256))/L256)*L256),EDATE(C256,(INT(((YEAR(TODAY())-YEAR(C256))*12+MONTH(TODAY())-MONTH(C256))/L256)+1)*L256))))</f>
        <v/>
      </c>
      <c r="F256" s="38" t="str">
        <f aca="true">IF(OR(E256="",H256="☑"),"",E256-TODAY())</f>
        <v/>
      </c>
      <c r="G256" s="32" t="str">
        <f aca="false">IF(H256="☑","Fatto",IF(E256="","",IF(F256&lt;0,"Scaduta",IF(F256&lt;=7,"Questa settimana",IF(F256&lt;=30,"Entro 30 giorni","Più avanti")))))</f>
        <v/>
      </c>
      <c r="H256" s="40"/>
      <c r="I256" s="34"/>
      <c r="J256" s="34"/>
      <c r="K256" s="34"/>
      <c r="L256" s="32" t="n">
        <f aca="false">IF(D256="Ogni mese",1,IF(D256="Ogni 3 mesi",3,IF(D256="Ogni 6 mesi",6,IF(D256="Ogni anno",12,0))))</f>
        <v>0</v>
      </c>
    </row>
    <row r="257" customFormat="false" ht="19.5" hidden="false" customHeight="true" outlineLevel="0" collapsed="false">
      <c r="A257" s="30"/>
      <c r="B257" s="30"/>
      <c r="C257" s="31"/>
      <c r="D257" s="30"/>
      <c r="E257" s="37" t="str">
        <f aca="true">IF(C257="","",IF(OR(L257=0,C257&gt;=TODAY()),C257,IF(EDATE(C257,INT(((YEAR(TODAY())-YEAR(C257))*12+MONTH(TODAY())-MONTH(C257))/L257)*L257)&gt;=TODAY(),EDATE(C257,INT(((YEAR(TODAY())-YEAR(C257))*12+MONTH(TODAY())-MONTH(C257))/L257)*L257),EDATE(C257,(INT(((YEAR(TODAY())-YEAR(C257))*12+MONTH(TODAY())-MONTH(C257))/L257)+1)*L257))))</f>
        <v/>
      </c>
      <c r="F257" s="38" t="str">
        <f aca="true">IF(OR(E257="",H257="☑"),"",E257-TODAY())</f>
        <v/>
      </c>
      <c r="G257" s="32" t="str">
        <f aca="false">IF(H257="☑","Fatto",IF(E257="","",IF(F257&lt;0,"Scaduta",IF(F257&lt;=7,"Questa settimana",IF(F257&lt;=30,"Entro 30 giorni","Più avanti")))))</f>
        <v/>
      </c>
      <c r="H257" s="39"/>
      <c r="I257" s="30"/>
      <c r="J257" s="30"/>
      <c r="K257" s="30"/>
      <c r="L257" s="32" t="n">
        <f aca="false">IF(D257="Ogni mese",1,IF(D257="Ogni 3 mesi",3,IF(D257="Ogni 6 mesi",6,IF(D257="Ogni anno",12,0))))</f>
        <v>0</v>
      </c>
    </row>
    <row r="258" customFormat="false" ht="19.5" hidden="false" customHeight="true" outlineLevel="0" collapsed="false">
      <c r="A258" s="34"/>
      <c r="B258" s="34"/>
      <c r="C258" s="35"/>
      <c r="D258" s="34"/>
      <c r="E258" s="37" t="str">
        <f aca="true">IF(C258="","",IF(OR(L258=0,C258&gt;=TODAY()),C258,IF(EDATE(C258,INT(((YEAR(TODAY())-YEAR(C258))*12+MONTH(TODAY())-MONTH(C258))/L258)*L258)&gt;=TODAY(),EDATE(C258,INT(((YEAR(TODAY())-YEAR(C258))*12+MONTH(TODAY())-MONTH(C258))/L258)*L258),EDATE(C258,(INT(((YEAR(TODAY())-YEAR(C258))*12+MONTH(TODAY())-MONTH(C258))/L258)+1)*L258))))</f>
        <v/>
      </c>
      <c r="F258" s="38" t="str">
        <f aca="true">IF(OR(E258="",H258="☑"),"",E258-TODAY())</f>
        <v/>
      </c>
      <c r="G258" s="32" t="str">
        <f aca="false">IF(H258="☑","Fatto",IF(E258="","",IF(F258&lt;0,"Scaduta",IF(F258&lt;=7,"Questa settimana",IF(F258&lt;=30,"Entro 30 giorni","Più avanti")))))</f>
        <v/>
      </c>
      <c r="H258" s="40"/>
      <c r="I258" s="34"/>
      <c r="J258" s="34"/>
      <c r="K258" s="34"/>
      <c r="L258" s="32" t="n">
        <f aca="false">IF(D258="Ogni mese",1,IF(D258="Ogni 3 mesi",3,IF(D258="Ogni 6 mesi",6,IF(D258="Ogni anno",12,0))))</f>
        <v>0</v>
      </c>
    </row>
    <row r="259" customFormat="false" ht="19.5" hidden="false" customHeight="true" outlineLevel="0" collapsed="false">
      <c r="A259" s="30"/>
      <c r="B259" s="30"/>
      <c r="C259" s="31"/>
      <c r="D259" s="30"/>
      <c r="E259" s="37" t="str">
        <f aca="true">IF(C259="","",IF(OR(L259=0,C259&gt;=TODAY()),C259,IF(EDATE(C259,INT(((YEAR(TODAY())-YEAR(C259))*12+MONTH(TODAY())-MONTH(C259))/L259)*L259)&gt;=TODAY(),EDATE(C259,INT(((YEAR(TODAY())-YEAR(C259))*12+MONTH(TODAY())-MONTH(C259))/L259)*L259),EDATE(C259,(INT(((YEAR(TODAY())-YEAR(C259))*12+MONTH(TODAY())-MONTH(C259))/L259)+1)*L259))))</f>
        <v/>
      </c>
      <c r="F259" s="38" t="str">
        <f aca="true">IF(OR(E259="",H259="☑"),"",E259-TODAY())</f>
        <v/>
      </c>
      <c r="G259" s="32" t="str">
        <f aca="false">IF(H259="☑","Fatto",IF(E259="","",IF(F259&lt;0,"Scaduta",IF(F259&lt;=7,"Questa settimana",IF(F259&lt;=30,"Entro 30 giorni","Più avanti")))))</f>
        <v/>
      </c>
      <c r="H259" s="39"/>
      <c r="I259" s="30"/>
      <c r="J259" s="30"/>
      <c r="K259" s="30"/>
      <c r="L259" s="32" t="n">
        <f aca="false">IF(D259="Ogni mese",1,IF(D259="Ogni 3 mesi",3,IF(D259="Ogni 6 mesi",6,IF(D259="Ogni anno",12,0))))</f>
        <v>0</v>
      </c>
    </row>
    <row r="260" customFormat="false" ht="19.5" hidden="false" customHeight="true" outlineLevel="0" collapsed="false">
      <c r="A260" s="34"/>
      <c r="B260" s="34"/>
      <c r="C260" s="35"/>
      <c r="D260" s="34"/>
      <c r="E260" s="37" t="str">
        <f aca="true">IF(C260="","",IF(OR(L260=0,C260&gt;=TODAY()),C260,IF(EDATE(C260,INT(((YEAR(TODAY())-YEAR(C260))*12+MONTH(TODAY())-MONTH(C260))/L260)*L260)&gt;=TODAY(),EDATE(C260,INT(((YEAR(TODAY())-YEAR(C260))*12+MONTH(TODAY())-MONTH(C260))/L260)*L260),EDATE(C260,(INT(((YEAR(TODAY())-YEAR(C260))*12+MONTH(TODAY())-MONTH(C260))/L260)+1)*L260))))</f>
        <v/>
      </c>
      <c r="F260" s="38" t="str">
        <f aca="true">IF(OR(E260="",H260="☑"),"",E260-TODAY())</f>
        <v/>
      </c>
      <c r="G260" s="32" t="str">
        <f aca="false">IF(H260="☑","Fatto",IF(E260="","",IF(F260&lt;0,"Scaduta",IF(F260&lt;=7,"Questa settimana",IF(F260&lt;=30,"Entro 30 giorni","Più avanti")))))</f>
        <v/>
      </c>
      <c r="H260" s="40"/>
      <c r="I260" s="34"/>
      <c r="J260" s="34"/>
      <c r="K260" s="34"/>
      <c r="L260" s="32" t="n">
        <f aca="false">IF(D260="Ogni mese",1,IF(D260="Ogni 3 mesi",3,IF(D260="Ogni 6 mesi",6,IF(D260="Ogni anno",12,0))))</f>
        <v>0</v>
      </c>
    </row>
    <row r="261" customFormat="false" ht="19.5" hidden="false" customHeight="true" outlineLevel="0" collapsed="false">
      <c r="A261" s="30"/>
      <c r="B261" s="30"/>
      <c r="C261" s="31"/>
      <c r="D261" s="30"/>
      <c r="E261" s="37" t="str">
        <f aca="true">IF(C261="","",IF(OR(L261=0,C261&gt;=TODAY()),C261,IF(EDATE(C261,INT(((YEAR(TODAY())-YEAR(C261))*12+MONTH(TODAY())-MONTH(C261))/L261)*L261)&gt;=TODAY(),EDATE(C261,INT(((YEAR(TODAY())-YEAR(C261))*12+MONTH(TODAY())-MONTH(C261))/L261)*L261),EDATE(C261,(INT(((YEAR(TODAY())-YEAR(C261))*12+MONTH(TODAY())-MONTH(C261))/L261)+1)*L261))))</f>
        <v/>
      </c>
      <c r="F261" s="38" t="str">
        <f aca="true">IF(OR(E261="",H261="☑"),"",E261-TODAY())</f>
        <v/>
      </c>
      <c r="G261" s="32" t="str">
        <f aca="false">IF(H261="☑","Fatto",IF(E261="","",IF(F261&lt;0,"Scaduta",IF(F261&lt;=7,"Questa settimana",IF(F261&lt;=30,"Entro 30 giorni","Più avanti")))))</f>
        <v/>
      </c>
      <c r="H261" s="39"/>
      <c r="I261" s="30"/>
      <c r="J261" s="30"/>
      <c r="K261" s="30"/>
      <c r="L261" s="32" t="n">
        <f aca="false">IF(D261="Ogni mese",1,IF(D261="Ogni 3 mesi",3,IF(D261="Ogni 6 mesi",6,IF(D261="Ogni anno",12,0))))</f>
        <v>0</v>
      </c>
    </row>
    <row r="262" customFormat="false" ht="19.5" hidden="false" customHeight="true" outlineLevel="0" collapsed="false">
      <c r="A262" s="34"/>
      <c r="B262" s="34"/>
      <c r="C262" s="35"/>
      <c r="D262" s="34"/>
      <c r="E262" s="37" t="str">
        <f aca="true">IF(C262="","",IF(OR(L262=0,C262&gt;=TODAY()),C262,IF(EDATE(C262,INT(((YEAR(TODAY())-YEAR(C262))*12+MONTH(TODAY())-MONTH(C262))/L262)*L262)&gt;=TODAY(),EDATE(C262,INT(((YEAR(TODAY())-YEAR(C262))*12+MONTH(TODAY())-MONTH(C262))/L262)*L262),EDATE(C262,(INT(((YEAR(TODAY())-YEAR(C262))*12+MONTH(TODAY())-MONTH(C262))/L262)+1)*L262))))</f>
        <v/>
      </c>
      <c r="F262" s="38" t="str">
        <f aca="true">IF(OR(E262="",H262="☑"),"",E262-TODAY())</f>
        <v/>
      </c>
      <c r="G262" s="32" t="str">
        <f aca="false">IF(H262="☑","Fatto",IF(E262="","",IF(F262&lt;0,"Scaduta",IF(F262&lt;=7,"Questa settimana",IF(F262&lt;=30,"Entro 30 giorni","Più avanti")))))</f>
        <v/>
      </c>
      <c r="H262" s="40"/>
      <c r="I262" s="34"/>
      <c r="J262" s="34"/>
      <c r="K262" s="34"/>
      <c r="L262" s="32" t="n">
        <f aca="false">IF(D262="Ogni mese",1,IF(D262="Ogni 3 mesi",3,IF(D262="Ogni 6 mesi",6,IF(D262="Ogni anno",12,0))))</f>
        <v>0</v>
      </c>
    </row>
    <row r="263" customFormat="false" ht="19.5" hidden="false" customHeight="true" outlineLevel="0" collapsed="false">
      <c r="A263" s="30"/>
      <c r="B263" s="30"/>
      <c r="C263" s="31"/>
      <c r="D263" s="30"/>
      <c r="E263" s="37" t="str">
        <f aca="true">IF(C263="","",IF(OR(L263=0,C263&gt;=TODAY()),C263,IF(EDATE(C263,INT(((YEAR(TODAY())-YEAR(C263))*12+MONTH(TODAY())-MONTH(C263))/L263)*L263)&gt;=TODAY(),EDATE(C263,INT(((YEAR(TODAY())-YEAR(C263))*12+MONTH(TODAY())-MONTH(C263))/L263)*L263),EDATE(C263,(INT(((YEAR(TODAY())-YEAR(C263))*12+MONTH(TODAY())-MONTH(C263))/L263)+1)*L263))))</f>
        <v/>
      </c>
      <c r="F263" s="38" t="str">
        <f aca="true">IF(OR(E263="",H263="☑"),"",E263-TODAY())</f>
        <v/>
      </c>
      <c r="G263" s="32" t="str">
        <f aca="false">IF(H263="☑","Fatto",IF(E263="","",IF(F263&lt;0,"Scaduta",IF(F263&lt;=7,"Questa settimana",IF(F263&lt;=30,"Entro 30 giorni","Più avanti")))))</f>
        <v/>
      </c>
      <c r="H263" s="39"/>
      <c r="I263" s="30"/>
      <c r="J263" s="30"/>
      <c r="K263" s="30"/>
      <c r="L263" s="32" t="n">
        <f aca="false">IF(D263="Ogni mese",1,IF(D263="Ogni 3 mesi",3,IF(D263="Ogni 6 mesi",6,IF(D263="Ogni anno",12,0))))</f>
        <v>0</v>
      </c>
    </row>
    <row r="264" customFormat="false" ht="19.5" hidden="false" customHeight="true" outlineLevel="0" collapsed="false">
      <c r="A264" s="34"/>
      <c r="B264" s="34"/>
      <c r="C264" s="35"/>
      <c r="D264" s="34"/>
      <c r="E264" s="37" t="str">
        <f aca="true">IF(C264="","",IF(OR(L264=0,C264&gt;=TODAY()),C264,IF(EDATE(C264,INT(((YEAR(TODAY())-YEAR(C264))*12+MONTH(TODAY())-MONTH(C264))/L264)*L264)&gt;=TODAY(),EDATE(C264,INT(((YEAR(TODAY())-YEAR(C264))*12+MONTH(TODAY())-MONTH(C264))/L264)*L264),EDATE(C264,(INT(((YEAR(TODAY())-YEAR(C264))*12+MONTH(TODAY())-MONTH(C264))/L264)+1)*L264))))</f>
        <v/>
      </c>
      <c r="F264" s="38" t="str">
        <f aca="true">IF(OR(E264="",H264="☑"),"",E264-TODAY())</f>
        <v/>
      </c>
      <c r="G264" s="32" t="str">
        <f aca="false">IF(H264="☑","Fatto",IF(E264="","",IF(F264&lt;0,"Scaduta",IF(F264&lt;=7,"Questa settimana",IF(F264&lt;=30,"Entro 30 giorni","Più avanti")))))</f>
        <v/>
      </c>
      <c r="H264" s="40"/>
      <c r="I264" s="34"/>
      <c r="J264" s="34"/>
      <c r="K264" s="34"/>
      <c r="L264" s="32" t="n">
        <f aca="false">IF(D264="Ogni mese",1,IF(D264="Ogni 3 mesi",3,IF(D264="Ogni 6 mesi",6,IF(D264="Ogni anno",12,0))))</f>
        <v>0</v>
      </c>
    </row>
    <row r="265" customFormat="false" ht="19.5" hidden="false" customHeight="true" outlineLevel="0" collapsed="false">
      <c r="A265" s="30"/>
      <c r="B265" s="30"/>
      <c r="C265" s="31"/>
      <c r="D265" s="30"/>
      <c r="E265" s="37" t="str">
        <f aca="true">IF(C265="","",IF(OR(L265=0,C265&gt;=TODAY()),C265,IF(EDATE(C265,INT(((YEAR(TODAY())-YEAR(C265))*12+MONTH(TODAY())-MONTH(C265))/L265)*L265)&gt;=TODAY(),EDATE(C265,INT(((YEAR(TODAY())-YEAR(C265))*12+MONTH(TODAY())-MONTH(C265))/L265)*L265),EDATE(C265,(INT(((YEAR(TODAY())-YEAR(C265))*12+MONTH(TODAY())-MONTH(C265))/L265)+1)*L265))))</f>
        <v/>
      </c>
      <c r="F265" s="38" t="str">
        <f aca="true">IF(OR(E265="",H265="☑"),"",E265-TODAY())</f>
        <v/>
      </c>
      <c r="G265" s="32" t="str">
        <f aca="false">IF(H265="☑","Fatto",IF(E265="","",IF(F265&lt;0,"Scaduta",IF(F265&lt;=7,"Questa settimana",IF(F265&lt;=30,"Entro 30 giorni","Più avanti")))))</f>
        <v/>
      </c>
      <c r="H265" s="39"/>
      <c r="I265" s="30"/>
      <c r="J265" s="30"/>
      <c r="K265" s="30"/>
      <c r="L265" s="32" t="n">
        <f aca="false">IF(D265="Ogni mese",1,IF(D265="Ogni 3 mesi",3,IF(D265="Ogni 6 mesi",6,IF(D265="Ogni anno",12,0))))</f>
        <v>0</v>
      </c>
    </row>
    <row r="266" customFormat="false" ht="19.5" hidden="false" customHeight="true" outlineLevel="0" collapsed="false">
      <c r="A266" s="34"/>
      <c r="B266" s="34"/>
      <c r="C266" s="35"/>
      <c r="D266" s="34"/>
      <c r="E266" s="37" t="str">
        <f aca="true">IF(C266="","",IF(OR(L266=0,C266&gt;=TODAY()),C266,IF(EDATE(C266,INT(((YEAR(TODAY())-YEAR(C266))*12+MONTH(TODAY())-MONTH(C266))/L266)*L266)&gt;=TODAY(),EDATE(C266,INT(((YEAR(TODAY())-YEAR(C266))*12+MONTH(TODAY())-MONTH(C266))/L266)*L266),EDATE(C266,(INT(((YEAR(TODAY())-YEAR(C266))*12+MONTH(TODAY())-MONTH(C266))/L266)+1)*L266))))</f>
        <v/>
      </c>
      <c r="F266" s="38" t="str">
        <f aca="true">IF(OR(E266="",H266="☑"),"",E266-TODAY())</f>
        <v/>
      </c>
      <c r="G266" s="32" t="str">
        <f aca="false">IF(H266="☑","Fatto",IF(E266="","",IF(F266&lt;0,"Scaduta",IF(F266&lt;=7,"Questa settimana",IF(F266&lt;=30,"Entro 30 giorni","Più avanti")))))</f>
        <v/>
      </c>
      <c r="H266" s="40"/>
      <c r="I266" s="34"/>
      <c r="J266" s="34"/>
      <c r="K266" s="34"/>
      <c r="L266" s="32" t="n">
        <f aca="false">IF(D266="Ogni mese",1,IF(D266="Ogni 3 mesi",3,IF(D266="Ogni 6 mesi",6,IF(D266="Ogni anno",12,0))))</f>
        <v>0</v>
      </c>
    </row>
    <row r="267" customFormat="false" ht="19.5" hidden="false" customHeight="true" outlineLevel="0" collapsed="false">
      <c r="A267" s="30"/>
      <c r="B267" s="30"/>
      <c r="C267" s="31"/>
      <c r="D267" s="30"/>
      <c r="E267" s="37" t="str">
        <f aca="true">IF(C267="","",IF(OR(L267=0,C267&gt;=TODAY()),C267,IF(EDATE(C267,INT(((YEAR(TODAY())-YEAR(C267))*12+MONTH(TODAY())-MONTH(C267))/L267)*L267)&gt;=TODAY(),EDATE(C267,INT(((YEAR(TODAY())-YEAR(C267))*12+MONTH(TODAY())-MONTH(C267))/L267)*L267),EDATE(C267,(INT(((YEAR(TODAY())-YEAR(C267))*12+MONTH(TODAY())-MONTH(C267))/L267)+1)*L267))))</f>
        <v/>
      </c>
      <c r="F267" s="38" t="str">
        <f aca="true">IF(OR(E267="",H267="☑"),"",E267-TODAY())</f>
        <v/>
      </c>
      <c r="G267" s="32" t="str">
        <f aca="false">IF(H267="☑","Fatto",IF(E267="","",IF(F267&lt;0,"Scaduta",IF(F267&lt;=7,"Questa settimana",IF(F267&lt;=30,"Entro 30 giorni","Più avanti")))))</f>
        <v/>
      </c>
      <c r="H267" s="39"/>
      <c r="I267" s="30"/>
      <c r="J267" s="30"/>
      <c r="K267" s="30"/>
      <c r="L267" s="32" t="n">
        <f aca="false">IF(D267="Ogni mese",1,IF(D267="Ogni 3 mesi",3,IF(D267="Ogni 6 mesi",6,IF(D267="Ogni anno",12,0))))</f>
        <v>0</v>
      </c>
    </row>
    <row r="268" customFormat="false" ht="19.5" hidden="false" customHeight="true" outlineLevel="0" collapsed="false">
      <c r="A268" s="34"/>
      <c r="B268" s="34"/>
      <c r="C268" s="35"/>
      <c r="D268" s="34"/>
      <c r="E268" s="37" t="str">
        <f aca="true">IF(C268="","",IF(OR(L268=0,C268&gt;=TODAY()),C268,IF(EDATE(C268,INT(((YEAR(TODAY())-YEAR(C268))*12+MONTH(TODAY())-MONTH(C268))/L268)*L268)&gt;=TODAY(),EDATE(C268,INT(((YEAR(TODAY())-YEAR(C268))*12+MONTH(TODAY())-MONTH(C268))/L268)*L268),EDATE(C268,(INT(((YEAR(TODAY())-YEAR(C268))*12+MONTH(TODAY())-MONTH(C268))/L268)+1)*L268))))</f>
        <v/>
      </c>
      <c r="F268" s="38" t="str">
        <f aca="true">IF(OR(E268="",H268="☑"),"",E268-TODAY())</f>
        <v/>
      </c>
      <c r="G268" s="32" t="str">
        <f aca="false">IF(H268="☑","Fatto",IF(E268="","",IF(F268&lt;0,"Scaduta",IF(F268&lt;=7,"Questa settimana",IF(F268&lt;=30,"Entro 30 giorni","Più avanti")))))</f>
        <v/>
      </c>
      <c r="H268" s="40"/>
      <c r="I268" s="34"/>
      <c r="J268" s="34"/>
      <c r="K268" s="34"/>
      <c r="L268" s="32" t="n">
        <f aca="false">IF(D268="Ogni mese",1,IF(D268="Ogni 3 mesi",3,IF(D268="Ogni 6 mesi",6,IF(D268="Ogni anno",12,0))))</f>
        <v>0</v>
      </c>
    </row>
    <row r="269" customFormat="false" ht="19.5" hidden="false" customHeight="true" outlineLevel="0" collapsed="false">
      <c r="A269" s="30"/>
      <c r="B269" s="30"/>
      <c r="C269" s="31"/>
      <c r="D269" s="30"/>
      <c r="E269" s="37" t="str">
        <f aca="true">IF(C269="","",IF(OR(L269=0,C269&gt;=TODAY()),C269,IF(EDATE(C269,INT(((YEAR(TODAY())-YEAR(C269))*12+MONTH(TODAY())-MONTH(C269))/L269)*L269)&gt;=TODAY(),EDATE(C269,INT(((YEAR(TODAY())-YEAR(C269))*12+MONTH(TODAY())-MONTH(C269))/L269)*L269),EDATE(C269,(INT(((YEAR(TODAY())-YEAR(C269))*12+MONTH(TODAY())-MONTH(C269))/L269)+1)*L269))))</f>
        <v/>
      </c>
      <c r="F269" s="38" t="str">
        <f aca="true">IF(OR(E269="",H269="☑"),"",E269-TODAY())</f>
        <v/>
      </c>
      <c r="G269" s="32" t="str">
        <f aca="false">IF(H269="☑","Fatto",IF(E269="","",IF(F269&lt;0,"Scaduta",IF(F269&lt;=7,"Questa settimana",IF(F269&lt;=30,"Entro 30 giorni","Più avanti")))))</f>
        <v/>
      </c>
      <c r="H269" s="39"/>
      <c r="I269" s="30"/>
      <c r="J269" s="30"/>
      <c r="K269" s="30"/>
      <c r="L269" s="32" t="n">
        <f aca="false">IF(D269="Ogni mese",1,IF(D269="Ogni 3 mesi",3,IF(D269="Ogni 6 mesi",6,IF(D269="Ogni anno",12,0))))</f>
        <v>0</v>
      </c>
    </row>
    <row r="270" customFormat="false" ht="19.5" hidden="false" customHeight="true" outlineLevel="0" collapsed="false">
      <c r="A270" s="34"/>
      <c r="B270" s="34"/>
      <c r="C270" s="35"/>
      <c r="D270" s="34"/>
      <c r="E270" s="37" t="str">
        <f aca="true">IF(C270="","",IF(OR(L270=0,C270&gt;=TODAY()),C270,IF(EDATE(C270,INT(((YEAR(TODAY())-YEAR(C270))*12+MONTH(TODAY())-MONTH(C270))/L270)*L270)&gt;=TODAY(),EDATE(C270,INT(((YEAR(TODAY())-YEAR(C270))*12+MONTH(TODAY())-MONTH(C270))/L270)*L270),EDATE(C270,(INT(((YEAR(TODAY())-YEAR(C270))*12+MONTH(TODAY())-MONTH(C270))/L270)+1)*L270))))</f>
        <v/>
      </c>
      <c r="F270" s="38" t="str">
        <f aca="true">IF(OR(E270="",H270="☑"),"",E270-TODAY())</f>
        <v/>
      </c>
      <c r="G270" s="32" t="str">
        <f aca="false">IF(H270="☑","Fatto",IF(E270="","",IF(F270&lt;0,"Scaduta",IF(F270&lt;=7,"Questa settimana",IF(F270&lt;=30,"Entro 30 giorni","Più avanti")))))</f>
        <v/>
      </c>
      <c r="H270" s="40"/>
      <c r="I270" s="34"/>
      <c r="J270" s="34"/>
      <c r="K270" s="34"/>
      <c r="L270" s="32" t="n">
        <f aca="false">IF(D270="Ogni mese",1,IF(D270="Ogni 3 mesi",3,IF(D270="Ogni 6 mesi",6,IF(D270="Ogni anno",12,0))))</f>
        <v>0</v>
      </c>
    </row>
    <row r="271" customFormat="false" ht="19.5" hidden="false" customHeight="true" outlineLevel="0" collapsed="false">
      <c r="A271" s="30"/>
      <c r="B271" s="30"/>
      <c r="C271" s="31"/>
      <c r="D271" s="30"/>
      <c r="E271" s="37" t="str">
        <f aca="true">IF(C271="","",IF(OR(L271=0,C271&gt;=TODAY()),C271,IF(EDATE(C271,INT(((YEAR(TODAY())-YEAR(C271))*12+MONTH(TODAY())-MONTH(C271))/L271)*L271)&gt;=TODAY(),EDATE(C271,INT(((YEAR(TODAY())-YEAR(C271))*12+MONTH(TODAY())-MONTH(C271))/L271)*L271),EDATE(C271,(INT(((YEAR(TODAY())-YEAR(C271))*12+MONTH(TODAY())-MONTH(C271))/L271)+1)*L271))))</f>
        <v/>
      </c>
      <c r="F271" s="38" t="str">
        <f aca="true">IF(OR(E271="",H271="☑"),"",E271-TODAY())</f>
        <v/>
      </c>
      <c r="G271" s="32" t="str">
        <f aca="false">IF(H271="☑","Fatto",IF(E271="","",IF(F271&lt;0,"Scaduta",IF(F271&lt;=7,"Questa settimana",IF(F271&lt;=30,"Entro 30 giorni","Più avanti")))))</f>
        <v/>
      </c>
      <c r="H271" s="39"/>
      <c r="I271" s="30"/>
      <c r="J271" s="30"/>
      <c r="K271" s="30"/>
      <c r="L271" s="32" t="n">
        <f aca="false">IF(D271="Ogni mese",1,IF(D271="Ogni 3 mesi",3,IF(D271="Ogni 6 mesi",6,IF(D271="Ogni anno",12,0))))</f>
        <v>0</v>
      </c>
    </row>
    <row r="272" customFormat="false" ht="19.5" hidden="false" customHeight="true" outlineLevel="0" collapsed="false">
      <c r="A272" s="34"/>
      <c r="B272" s="34"/>
      <c r="C272" s="35"/>
      <c r="D272" s="34"/>
      <c r="E272" s="37" t="str">
        <f aca="true">IF(C272="","",IF(OR(L272=0,C272&gt;=TODAY()),C272,IF(EDATE(C272,INT(((YEAR(TODAY())-YEAR(C272))*12+MONTH(TODAY())-MONTH(C272))/L272)*L272)&gt;=TODAY(),EDATE(C272,INT(((YEAR(TODAY())-YEAR(C272))*12+MONTH(TODAY())-MONTH(C272))/L272)*L272),EDATE(C272,(INT(((YEAR(TODAY())-YEAR(C272))*12+MONTH(TODAY())-MONTH(C272))/L272)+1)*L272))))</f>
        <v/>
      </c>
      <c r="F272" s="38" t="str">
        <f aca="true">IF(OR(E272="",H272="☑"),"",E272-TODAY())</f>
        <v/>
      </c>
      <c r="G272" s="32" t="str">
        <f aca="false">IF(H272="☑","Fatto",IF(E272="","",IF(F272&lt;0,"Scaduta",IF(F272&lt;=7,"Questa settimana",IF(F272&lt;=30,"Entro 30 giorni","Più avanti")))))</f>
        <v/>
      </c>
      <c r="H272" s="40"/>
      <c r="I272" s="34"/>
      <c r="J272" s="34"/>
      <c r="K272" s="34"/>
      <c r="L272" s="32" t="n">
        <f aca="false">IF(D272="Ogni mese",1,IF(D272="Ogni 3 mesi",3,IF(D272="Ogni 6 mesi",6,IF(D272="Ogni anno",12,0))))</f>
        <v>0</v>
      </c>
    </row>
    <row r="273" customFormat="false" ht="19.5" hidden="false" customHeight="true" outlineLevel="0" collapsed="false">
      <c r="A273" s="30"/>
      <c r="B273" s="30"/>
      <c r="C273" s="31"/>
      <c r="D273" s="30"/>
      <c r="E273" s="37" t="str">
        <f aca="true">IF(C273="","",IF(OR(L273=0,C273&gt;=TODAY()),C273,IF(EDATE(C273,INT(((YEAR(TODAY())-YEAR(C273))*12+MONTH(TODAY())-MONTH(C273))/L273)*L273)&gt;=TODAY(),EDATE(C273,INT(((YEAR(TODAY())-YEAR(C273))*12+MONTH(TODAY())-MONTH(C273))/L273)*L273),EDATE(C273,(INT(((YEAR(TODAY())-YEAR(C273))*12+MONTH(TODAY())-MONTH(C273))/L273)+1)*L273))))</f>
        <v/>
      </c>
      <c r="F273" s="38" t="str">
        <f aca="true">IF(OR(E273="",H273="☑"),"",E273-TODAY())</f>
        <v/>
      </c>
      <c r="G273" s="32" t="str">
        <f aca="false">IF(H273="☑","Fatto",IF(E273="","",IF(F273&lt;0,"Scaduta",IF(F273&lt;=7,"Questa settimana",IF(F273&lt;=30,"Entro 30 giorni","Più avanti")))))</f>
        <v/>
      </c>
      <c r="H273" s="39"/>
      <c r="I273" s="30"/>
      <c r="J273" s="30"/>
      <c r="K273" s="30"/>
      <c r="L273" s="32" t="n">
        <f aca="false">IF(D273="Ogni mese",1,IF(D273="Ogni 3 mesi",3,IF(D273="Ogni 6 mesi",6,IF(D273="Ogni anno",12,0))))</f>
        <v>0</v>
      </c>
    </row>
    <row r="274" customFormat="false" ht="19.5" hidden="false" customHeight="true" outlineLevel="0" collapsed="false">
      <c r="A274" s="34"/>
      <c r="B274" s="34"/>
      <c r="C274" s="35"/>
      <c r="D274" s="34"/>
      <c r="E274" s="37" t="str">
        <f aca="true">IF(C274="","",IF(OR(L274=0,C274&gt;=TODAY()),C274,IF(EDATE(C274,INT(((YEAR(TODAY())-YEAR(C274))*12+MONTH(TODAY())-MONTH(C274))/L274)*L274)&gt;=TODAY(),EDATE(C274,INT(((YEAR(TODAY())-YEAR(C274))*12+MONTH(TODAY())-MONTH(C274))/L274)*L274),EDATE(C274,(INT(((YEAR(TODAY())-YEAR(C274))*12+MONTH(TODAY())-MONTH(C274))/L274)+1)*L274))))</f>
        <v/>
      </c>
      <c r="F274" s="38" t="str">
        <f aca="true">IF(OR(E274="",H274="☑"),"",E274-TODAY())</f>
        <v/>
      </c>
      <c r="G274" s="32" t="str">
        <f aca="false">IF(H274="☑","Fatto",IF(E274="","",IF(F274&lt;0,"Scaduta",IF(F274&lt;=7,"Questa settimana",IF(F274&lt;=30,"Entro 30 giorni","Più avanti")))))</f>
        <v/>
      </c>
      <c r="H274" s="40"/>
      <c r="I274" s="34"/>
      <c r="J274" s="34"/>
      <c r="K274" s="34"/>
      <c r="L274" s="32" t="n">
        <f aca="false">IF(D274="Ogni mese",1,IF(D274="Ogni 3 mesi",3,IF(D274="Ogni 6 mesi",6,IF(D274="Ogni anno",12,0))))</f>
        <v>0</v>
      </c>
    </row>
    <row r="275" customFormat="false" ht="19.5" hidden="false" customHeight="true" outlineLevel="0" collapsed="false">
      <c r="A275" s="30"/>
      <c r="B275" s="30"/>
      <c r="C275" s="31"/>
      <c r="D275" s="30"/>
      <c r="E275" s="37" t="str">
        <f aca="true">IF(C275="","",IF(OR(L275=0,C275&gt;=TODAY()),C275,IF(EDATE(C275,INT(((YEAR(TODAY())-YEAR(C275))*12+MONTH(TODAY())-MONTH(C275))/L275)*L275)&gt;=TODAY(),EDATE(C275,INT(((YEAR(TODAY())-YEAR(C275))*12+MONTH(TODAY())-MONTH(C275))/L275)*L275),EDATE(C275,(INT(((YEAR(TODAY())-YEAR(C275))*12+MONTH(TODAY())-MONTH(C275))/L275)+1)*L275))))</f>
        <v/>
      </c>
      <c r="F275" s="38" t="str">
        <f aca="true">IF(OR(E275="",H275="☑"),"",E275-TODAY())</f>
        <v/>
      </c>
      <c r="G275" s="32" t="str">
        <f aca="false">IF(H275="☑","Fatto",IF(E275="","",IF(F275&lt;0,"Scaduta",IF(F275&lt;=7,"Questa settimana",IF(F275&lt;=30,"Entro 30 giorni","Più avanti")))))</f>
        <v/>
      </c>
      <c r="H275" s="39"/>
      <c r="I275" s="30"/>
      <c r="J275" s="30"/>
      <c r="K275" s="30"/>
      <c r="L275" s="32" t="n">
        <f aca="false">IF(D275="Ogni mese",1,IF(D275="Ogni 3 mesi",3,IF(D275="Ogni 6 mesi",6,IF(D275="Ogni anno",12,0))))</f>
        <v>0</v>
      </c>
    </row>
    <row r="276" customFormat="false" ht="19.5" hidden="false" customHeight="true" outlineLevel="0" collapsed="false">
      <c r="A276" s="34"/>
      <c r="B276" s="34"/>
      <c r="C276" s="35"/>
      <c r="D276" s="34"/>
      <c r="E276" s="37" t="str">
        <f aca="true">IF(C276="","",IF(OR(L276=0,C276&gt;=TODAY()),C276,IF(EDATE(C276,INT(((YEAR(TODAY())-YEAR(C276))*12+MONTH(TODAY())-MONTH(C276))/L276)*L276)&gt;=TODAY(),EDATE(C276,INT(((YEAR(TODAY())-YEAR(C276))*12+MONTH(TODAY())-MONTH(C276))/L276)*L276),EDATE(C276,(INT(((YEAR(TODAY())-YEAR(C276))*12+MONTH(TODAY())-MONTH(C276))/L276)+1)*L276))))</f>
        <v/>
      </c>
      <c r="F276" s="38" t="str">
        <f aca="true">IF(OR(E276="",H276="☑"),"",E276-TODAY())</f>
        <v/>
      </c>
      <c r="G276" s="32" t="str">
        <f aca="false">IF(H276="☑","Fatto",IF(E276="","",IF(F276&lt;0,"Scaduta",IF(F276&lt;=7,"Questa settimana",IF(F276&lt;=30,"Entro 30 giorni","Più avanti")))))</f>
        <v/>
      </c>
      <c r="H276" s="40"/>
      <c r="I276" s="34"/>
      <c r="J276" s="34"/>
      <c r="K276" s="34"/>
      <c r="L276" s="32" t="n">
        <f aca="false">IF(D276="Ogni mese",1,IF(D276="Ogni 3 mesi",3,IF(D276="Ogni 6 mesi",6,IF(D276="Ogni anno",12,0))))</f>
        <v>0</v>
      </c>
    </row>
    <row r="277" customFormat="false" ht="19.5" hidden="false" customHeight="true" outlineLevel="0" collapsed="false">
      <c r="A277" s="30"/>
      <c r="B277" s="30"/>
      <c r="C277" s="31"/>
      <c r="D277" s="30"/>
      <c r="E277" s="37" t="str">
        <f aca="true">IF(C277="","",IF(OR(L277=0,C277&gt;=TODAY()),C277,IF(EDATE(C277,INT(((YEAR(TODAY())-YEAR(C277))*12+MONTH(TODAY())-MONTH(C277))/L277)*L277)&gt;=TODAY(),EDATE(C277,INT(((YEAR(TODAY())-YEAR(C277))*12+MONTH(TODAY())-MONTH(C277))/L277)*L277),EDATE(C277,(INT(((YEAR(TODAY())-YEAR(C277))*12+MONTH(TODAY())-MONTH(C277))/L277)+1)*L277))))</f>
        <v/>
      </c>
      <c r="F277" s="38" t="str">
        <f aca="true">IF(OR(E277="",H277="☑"),"",E277-TODAY())</f>
        <v/>
      </c>
      <c r="G277" s="32" t="str">
        <f aca="false">IF(H277="☑","Fatto",IF(E277="","",IF(F277&lt;0,"Scaduta",IF(F277&lt;=7,"Questa settimana",IF(F277&lt;=30,"Entro 30 giorni","Più avanti")))))</f>
        <v/>
      </c>
      <c r="H277" s="39"/>
      <c r="I277" s="30"/>
      <c r="J277" s="30"/>
      <c r="K277" s="30"/>
      <c r="L277" s="32" t="n">
        <f aca="false">IF(D277="Ogni mese",1,IF(D277="Ogni 3 mesi",3,IF(D277="Ogni 6 mesi",6,IF(D277="Ogni anno",12,0))))</f>
        <v>0</v>
      </c>
    </row>
    <row r="278" customFormat="false" ht="19.5" hidden="false" customHeight="true" outlineLevel="0" collapsed="false">
      <c r="A278" s="34"/>
      <c r="B278" s="34"/>
      <c r="C278" s="35"/>
      <c r="D278" s="34"/>
      <c r="E278" s="37" t="str">
        <f aca="true">IF(C278="","",IF(OR(L278=0,C278&gt;=TODAY()),C278,IF(EDATE(C278,INT(((YEAR(TODAY())-YEAR(C278))*12+MONTH(TODAY())-MONTH(C278))/L278)*L278)&gt;=TODAY(),EDATE(C278,INT(((YEAR(TODAY())-YEAR(C278))*12+MONTH(TODAY())-MONTH(C278))/L278)*L278),EDATE(C278,(INT(((YEAR(TODAY())-YEAR(C278))*12+MONTH(TODAY())-MONTH(C278))/L278)+1)*L278))))</f>
        <v/>
      </c>
      <c r="F278" s="38" t="str">
        <f aca="true">IF(OR(E278="",H278="☑"),"",E278-TODAY())</f>
        <v/>
      </c>
      <c r="G278" s="32" t="str">
        <f aca="false">IF(H278="☑","Fatto",IF(E278="","",IF(F278&lt;0,"Scaduta",IF(F278&lt;=7,"Questa settimana",IF(F278&lt;=30,"Entro 30 giorni","Più avanti")))))</f>
        <v/>
      </c>
      <c r="H278" s="40"/>
      <c r="I278" s="34"/>
      <c r="J278" s="34"/>
      <c r="K278" s="34"/>
      <c r="L278" s="32" t="n">
        <f aca="false">IF(D278="Ogni mese",1,IF(D278="Ogni 3 mesi",3,IF(D278="Ogni 6 mesi",6,IF(D278="Ogni anno",12,0))))</f>
        <v>0</v>
      </c>
    </row>
    <row r="279" customFormat="false" ht="19.5" hidden="false" customHeight="true" outlineLevel="0" collapsed="false">
      <c r="A279" s="30"/>
      <c r="B279" s="30"/>
      <c r="C279" s="31"/>
      <c r="D279" s="30"/>
      <c r="E279" s="37" t="str">
        <f aca="true">IF(C279="","",IF(OR(L279=0,C279&gt;=TODAY()),C279,IF(EDATE(C279,INT(((YEAR(TODAY())-YEAR(C279))*12+MONTH(TODAY())-MONTH(C279))/L279)*L279)&gt;=TODAY(),EDATE(C279,INT(((YEAR(TODAY())-YEAR(C279))*12+MONTH(TODAY())-MONTH(C279))/L279)*L279),EDATE(C279,(INT(((YEAR(TODAY())-YEAR(C279))*12+MONTH(TODAY())-MONTH(C279))/L279)+1)*L279))))</f>
        <v/>
      </c>
      <c r="F279" s="38" t="str">
        <f aca="true">IF(OR(E279="",H279="☑"),"",E279-TODAY())</f>
        <v/>
      </c>
      <c r="G279" s="32" t="str">
        <f aca="false">IF(H279="☑","Fatto",IF(E279="","",IF(F279&lt;0,"Scaduta",IF(F279&lt;=7,"Questa settimana",IF(F279&lt;=30,"Entro 30 giorni","Più avanti")))))</f>
        <v/>
      </c>
      <c r="H279" s="39"/>
      <c r="I279" s="30"/>
      <c r="J279" s="30"/>
      <c r="K279" s="30"/>
      <c r="L279" s="32" t="n">
        <f aca="false">IF(D279="Ogni mese",1,IF(D279="Ogni 3 mesi",3,IF(D279="Ogni 6 mesi",6,IF(D279="Ogni anno",12,0))))</f>
        <v>0</v>
      </c>
    </row>
    <row r="280" customFormat="false" ht="19.5" hidden="false" customHeight="true" outlineLevel="0" collapsed="false">
      <c r="A280" s="34"/>
      <c r="B280" s="34"/>
      <c r="C280" s="35"/>
      <c r="D280" s="34"/>
      <c r="E280" s="37" t="str">
        <f aca="true">IF(C280="","",IF(OR(L280=0,C280&gt;=TODAY()),C280,IF(EDATE(C280,INT(((YEAR(TODAY())-YEAR(C280))*12+MONTH(TODAY())-MONTH(C280))/L280)*L280)&gt;=TODAY(),EDATE(C280,INT(((YEAR(TODAY())-YEAR(C280))*12+MONTH(TODAY())-MONTH(C280))/L280)*L280),EDATE(C280,(INT(((YEAR(TODAY())-YEAR(C280))*12+MONTH(TODAY())-MONTH(C280))/L280)+1)*L280))))</f>
        <v/>
      </c>
      <c r="F280" s="38" t="str">
        <f aca="true">IF(OR(E280="",H280="☑"),"",E280-TODAY())</f>
        <v/>
      </c>
      <c r="G280" s="32" t="str">
        <f aca="false">IF(H280="☑","Fatto",IF(E280="","",IF(F280&lt;0,"Scaduta",IF(F280&lt;=7,"Questa settimana",IF(F280&lt;=30,"Entro 30 giorni","Più avanti")))))</f>
        <v/>
      </c>
      <c r="H280" s="40"/>
      <c r="I280" s="34"/>
      <c r="J280" s="34"/>
      <c r="K280" s="34"/>
      <c r="L280" s="32" t="n">
        <f aca="false">IF(D280="Ogni mese",1,IF(D280="Ogni 3 mesi",3,IF(D280="Ogni 6 mesi",6,IF(D280="Ogni anno",12,0))))</f>
        <v>0</v>
      </c>
    </row>
    <row r="281" customFormat="false" ht="19.5" hidden="false" customHeight="true" outlineLevel="0" collapsed="false">
      <c r="A281" s="30"/>
      <c r="B281" s="30"/>
      <c r="C281" s="31"/>
      <c r="D281" s="30"/>
      <c r="E281" s="37" t="str">
        <f aca="true">IF(C281="","",IF(OR(L281=0,C281&gt;=TODAY()),C281,IF(EDATE(C281,INT(((YEAR(TODAY())-YEAR(C281))*12+MONTH(TODAY())-MONTH(C281))/L281)*L281)&gt;=TODAY(),EDATE(C281,INT(((YEAR(TODAY())-YEAR(C281))*12+MONTH(TODAY())-MONTH(C281))/L281)*L281),EDATE(C281,(INT(((YEAR(TODAY())-YEAR(C281))*12+MONTH(TODAY())-MONTH(C281))/L281)+1)*L281))))</f>
        <v/>
      </c>
      <c r="F281" s="38" t="str">
        <f aca="true">IF(OR(E281="",H281="☑"),"",E281-TODAY())</f>
        <v/>
      </c>
      <c r="G281" s="32" t="str">
        <f aca="false">IF(H281="☑","Fatto",IF(E281="","",IF(F281&lt;0,"Scaduta",IF(F281&lt;=7,"Questa settimana",IF(F281&lt;=30,"Entro 30 giorni","Più avanti")))))</f>
        <v/>
      </c>
      <c r="H281" s="39"/>
      <c r="I281" s="30"/>
      <c r="J281" s="30"/>
      <c r="K281" s="30"/>
      <c r="L281" s="32" t="n">
        <f aca="false">IF(D281="Ogni mese",1,IF(D281="Ogni 3 mesi",3,IF(D281="Ogni 6 mesi",6,IF(D281="Ogni anno",12,0))))</f>
        <v>0</v>
      </c>
    </row>
    <row r="282" customFormat="false" ht="19.5" hidden="false" customHeight="true" outlineLevel="0" collapsed="false">
      <c r="A282" s="34"/>
      <c r="B282" s="34"/>
      <c r="C282" s="35"/>
      <c r="D282" s="34"/>
      <c r="E282" s="37" t="str">
        <f aca="true">IF(C282="","",IF(OR(L282=0,C282&gt;=TODAY()),C282,IF(EDATE(C282,INT(((YEAR(TODAY())-YEAR(C282))*12+MONTH(TODAY())-MONTH(C282))/L282)*L282)&gt;=TODAY(),EDATE(C282,INT(((YEAR(TODAY())-YEAR(C282))*12+MONTH(TODAY())-MONTH(C282))/L282)*L282),EDATE(C282,(INT(((YEAR(TODAY())-YEAR(C282))*12+MONTH(TODAY())-MONTH(C282))/L282)+1)*L282))))</f>
        <v/>
      </c>
      <c r="F282" s="38" t="str">
        <f aca="true">IF(OR(E282="",H282="☑"),"",E282-TODAY())</f>
        <v/>
      </c>
      <c r="G282" s="32" t="str">
        <f aca="false">IF(H282="☑","Fatto",IF(E282="","",IF(F282&lt;0,"Scaduta",IF(F282&lt;=7,"Questa settimana",IF(F282&lt;=30,"Entro 30 giorni","Più avanti")))))</f>
        <v/>
      </c>
      <c r="H282" s="40"/>
      <c r="I282" s="34"/>
      <c r="J282" s="34"/>
      <c r="K282" s="34"/>
      <c r="L282" s="32" t="n">
        <f aca="false">IF(D282="Ogni mese",1,IF(D282="Ogni 3 mesi",3,IF(D282="Ogni 6 mesi",6,IF(D282="Ogni anno",12,0))))</f>
        <v>0</v>
      </c>
    </row>
    <row r="283" customFormat="false" ht="19.5" hidden="false" customHeight="true" outlineLevel="0" collapsed="false">
      <c r="A283" s="30"/>
      <c r="B283" s="30"/>
      <c r="C283" s="31"/>
      <c r="D283" s="30"/>
      <c r="E283" s="37" t="str">
        <f aca="true">IF(C283="","",IF(OR(L283=0,C283&gt;=TODAY()),C283,IF(EDATE(C283,INT(((YEAR(TODAY())-YEAR(C283))*12+MONTH(TODAY())-MONTH(C283))/L283)*L283)&gt;=TODAY(),EDATE(C283,INT(((YEAR(TODAY())-YEAR(C283))*12+MONTH(TODAY())-MONTH(C283))/L283)*L283),EDATE(C283,(INT(((YEAR(TODAY())-YEAR(C283))*12+MONTH(TODAY())-MONTH(C283))/L283)+1)*L283))))</f>
        <v/>
      </c>
      <c r="F283" s="38" t="str">
        <f aca="true">IF(OR(E283="",H283="☑"),"",E283-TODAY())</f>
        <v/>
      </c>
      <c r="G283" s="32" t="str">
        <f aca="false">IF(H283="☑","Fatto",IF(E283="","",IF(F283&lt;0,"Scaduta",IF(F283&lt;=7,"Questa settimana",IF(F283&lt;=30,"Entro 30 giorni","Più avanti")))))</f>
        <v/>
      </c>
      <c r="H283" s="39"/>
      <c r="I283" s="30"/>
      <c r="J283" s="30"/>
      <c r="K283" s="30"/>
      <c r="L283" s="32" t="n">
        <f aca="false">IF(D283="Ogni mese",1,IF(D283="Ogni 3 mesi",3,IF(D283="Ogni 6 mesi",6,IF(D283="Ogni anno",12,0))))</f>
        <v>0</v>
      </c>
    </row>
    <row r="284" customFormat="false" ht="19.5" hidden="false" customHeight="true" outlineLevel="0" collapsed="false">
      <c r="A284" s="34"/>
      <c r="B284" s="34"/>
      <c r="C284" s="35"/>
      <c r="D284" s="34"/>
      <c r="E284" s="37" t="str">
        <f aca="true">IF(C284="","",IF(OR(L284=0,C284&gt;=TODAY()),C284,IF(EDATE(C284,INT(((YEAR(TODAY())-YEAR(C284))*12+MONTH(TODAY())-MONTH(C284))/L284)*L284)&gt;=TODAY(),EDATE(C284,INT(((YEAR(TODAY())-YEAR(C284))*12+MONTH(TODAY())-MONTH(C284))/L284)*L284),EDATE(C284,(INT(((YEAR(TODAY())-YEAR(C284))*12+MONTH(TODAY())-MONTH(C284))/L284)+1)*L284))))</f>
        <v/>
      </c>
      <c r="F284" s="38" t="str">
        <f aca="true">IF(OR(E284="",H284="☑"),"",E284-TODAY())</f>
        <v/>
      </c>
      <c r="G284" s="32" t="str">
        <f aca="false">IF(H284="☑","Fatto",IF(E284="","",IF(F284&lt;0,"Scaduta",IF(F284&lt;=7,"Questa settimana",IF(F284&lt;=30,"Entro 30 giorni","Più avanti")))))</f>
        <v/>
      </c>
      <c r="H284" s="40"/>
      <c r="I284" s="34"/>
      <c r="J284" s="34"/>
      <c r="K284" s="34"/>
      <c r="L284" s="32" t="n">
        <f aca="false">IF(D284="Ogni mese",1,IF(D284="Ogni 3 mesi",3,IF(D284="Ogni 6 mesi",6,IF(D284="Ogni anno",12,0))))</f>
        <v>0</v>
      </c>
    </row>
    <row r="285" customFormat="false" ht="19.5" hidden="false" customHeight="true" outlineLevel="0" collapsed="false">
      <c r="A285" s="30"/>
      <c r="B285" s="30"/>
      <c r="C285" s="31"/>
      <c r="D285" s="30"/>
      <c r="E285" s="37" t="str">
        <f aca="true">IF(C285="","",IF(OR(L285=0,C285&gt;=TODAY()),C285,IF(EDATE(C285,INT(((YEAR(TODAY())-YEAR(C285))*12+MONTH(TODAY())-MONTH(C285))/L285)*L285)&gt;=TODAY(),EDATE(C285,INT(((YEAR(TODAY())-YEAR(C285))*12+MONTH(TODAY())-MONTH(C285))/L285)*L285),EDATE(C285,(INT(((YEAR(TODAY())-YEAR(C285))*12+MONTH(TODAY())-MONTH(C285))/L285)+1)*L285))))</f>
        <v/>
      </c>
      <c r="F285" s="38" t="str">
        <f aca="true">IF(OR(E285="",H285="☑"),"",E285-TODAY())</f>
        <v/>
      </c>
      <c r="G285" s="32" t="str">
        <f aca="false">IF(H285="☑","Fatto",IF(E285="","",IF(F285&lt;0,"Scaduta",IF(F285&lt;=7,"Questa settimana",IF(F285&lt;=30,"Entro 30 giorni","Più avanti")))))</f>
        <v/>
      </c>
      <c r="H285" s="39"/>
      <c r="I285" s="30"/>
      <c r="J285" s="30"/>
      <c r="K285" s="30"/>
      <c r="L285" s="32" t="n">
        <f aca="false">IF(D285="Ogni mese",1,IF(D285="Ogni 3 mesi",3,IF(D285="Ogni 6 mesi",6,IF(D285="Ogni anno",12,0))))</f>
        <v>0</v>
      </c>
    </row>
    <row r="286" customFormat="false" ht="19.5" hidden="false" customHeight="true" outlineLevel="0" collapsed="false">
      <c r="A286" s="34"/>
      <c r="B286" s="34"/>
      <c r="C286" s="35"/>
      <c r="D286" s="34"/>
      <c r="E286" s="37" t="str">
        <f aca="true">IF(C286="","",IF(OR(L286=0,C286&gt;=TODAY()),C286,IF(EDATE(C286,INT(((YEAR(TODAY())-YEAR(C286))*12+MONTH(TODAY())-MONTH(C286))/L286)*L286)&gt;=TODAY(),EDATE(C286,INT(((YEAR(TODAY())-YEAR(C286))*12+MONTH(TODAY())-MONTH(C286))/L286)*L286),EDATE(C286,(INT(((YEAR(TODAY())-YEAR(C286))*12+MONTH(TODAY())-MONTH(C286))/L286)+1)*L286))))</f>
        <v/>
      </c>
      <c r="F286" s="38" t="str">
        <f aca="true">IF(OR(E286="",H286="☑"),"",E286-TODAY())</f>
        <v/>
      </c>
      <c r="G286" s="32" t="str">
        <f aca="false">IF(H286="☑","Fatto",IF(E286="","",IF(F286&lt;0,"Scaduta",IF(F286&lt;=7,"Questa settimana",IF(F286&lt;=30,"Entro 30 giorni","Più avanti")))))</f>
        <v/>
      </c>
      <c r="H286" s="40"/>
      <c r="I286" s="34"/>
      <c r="J286" s="34"/>
      <c r="K286" s="34"/>
      <c r="L286" s="32" t="n">
        <f aca="false">IF(D286="Ogni mese",1,IF(D286="Ogni 3 mesi",3,IF(D286="Ogni 6 mesi",6,IF(D286="Ogni anno",12,0))))</f>
        <v>0</v>
      </c>
    </row>
    <row r="287" customFormat="false" ht="19.5" hidden="false" customHeight="true" outlineLevel="0" collapsed="false">
      <c r="A287" s="30"/>
      <c r="B287" s="30"/>
      <c r="C287" s="31"/>
      <c r="D287" s="30"/>
      <c r="E287" s="37" t="str">
        <f aca="true">IF(C287="","",IF(OR(L287=0,C287&gt;=TODAY()),C287,IF(EDATE(C287,INT(((YEAR(TODAY())-YEAR(C287))*12+MONTH(TODAY())-MONTH(C287))/L287)*L287)&gt;=TODAY(),EDATE(C287,INT(((YEAR(TODAY())-YEAR(C287))*12+MONTH(TODAY())-MONTH(C287))/L287)*L287),EDATE(C287,(INT(((YEAR(TODAY())-YEAR(C287))*12+MONTH(TODAY())-MONTH(C287))/L287)+1)*L287))))</f>
        <v/>
      </c>
      <c r="F287" s="38" t="str">
        <f aca="true">IF(OR(E287="",H287="☑"),"",E287-TODAY())</f>
        <v/>
      </c>
      <c r="G287" s="32" t="str">
        <f aca="false">IF(H287="☑","Fatto",IF(E287="","",IF(F287&lt;0,"Scaduta",IF(F287&lt;=7,"Questa settimana",IF(F287&lt;=30,"Entro 30 giorni","Più avanti")))))</f>
        <v/>
      </c>
      <c r="H287" s="39"/>
      <c r="I287" s="30"/>
      <c r="J287" s="30"/>
      <c r="K287" s="30"/>
      <c r="L287" s="32" t="n">
        <f aca="false">IF(D287="Ogni mese",1,IF(D287="Ogni 3 mesi",3,IF(D287="Ogni 6 mesi",6,IF(D287="Ogni anno",12,0))))</f>
        <v>0</v>
      </c>
    </row>
    <row r="288" customFormat="false" ht="19.5" hidden="false" customHeight="true" outlineLevel="0" collapsed="false">
      <c r="A288" s="34"/>
      <c r="B288" s="34"/>
      <c r="C288" s="35"/>
      <c r="D288" s="34"/>
      <c r="E288" s="37" t="str">
        <f aca="true">IF(C288="","",IF(OR(L288=0,C288&gt;=TODAY()),C288,IF(EDATE(C288,INT(((YEAR(TODAY())-YEAR(C288))*12+MONTH(TODAY())-MONTH(C288))/L288)*L288)&gt;=TODAY(),EDATE(C288,INT(((YEAR(TODAY())-YEAR(C288))*12+MONTH(TODAY())-MONTH(C288))/L288)*L288),EDATE(C288,(INT(((YEAR(TODAY())-YEAR(C288))*12+MONTH(TODAY())-MONTH(C288))/L288)+1)*L288))))</f>
        <v/>
      </c>
      <c r="F288" s="38" t="str">
        <f aca="true">IF(OR(E288="",H288="☑"),"",E288-TODAY())</f>
        <v/>
      </c>
      <c r="G288" s="32" t="str">
        <f aca="false">IF(H288="☑","Fatto",IF(E288="","",IF(F288&lt;0,"Scaduta",IF(F288&lt;=7,"Questa settimana",IF(F288&lt;=30,"Entro 30 giorni","Più avanti")))))</f>
        <v/>
      </c>
      <c r="H288" s="40"/>
      <c r="I288" s="34"/>
      <c r="J288" s="34"/>
      <c r="K288" s="34"/>
      <c r="L288" s="32" t="n">
        <f aca="false">IF(D288="Ogni mese",1,IF(D288="Ogni 3 mesi",3,IF(D288="Ogni 6 mesi",6,IF(D288="Ogni anno",12,0))))</f>
        <v>0</v>
      </c>
    </row>
    <row r="289" customFormat="false" ht="19.5" hidden="false" customHeight="true" outlineLevel="0" collapsed="false">
      <c r="A289" s="30"/>
      <c r="B289" s="30"/>
      <c r="C289" s="31"/>
      <c r="D289" s="30"/>
      <c r="E289" s="37" t="str">
        <f aca="true">IF(C289="","",IF(OR(L289=0,C289&gt;=TODAY()),C289,IF(EDATE(C289,INT(((YEAR(TODAY())-YEAR(C289))*12+MONTH(TODAY())-MONTH(C289))/L289)*L289)&gt;=TODAY(),EDATE(C289,INT(((YEAR(TODAY())-YEAR(C289))*12+MONTH(TODAY())-MONTH(C289))/L289)*L289),EDATE(C289,(INT(((YEAR(TODAY())-YEAR(C289))*12+MONTH(TODAY())-MONTH(C289))/L289)+1)*L289))))</f>
        <v/>
      </c>
      <c r="F289" s="38" t="str">
        <f aca="true">IF(OR(E289="",H289="☑"),"",E289-TODAY())</f>
        <v/>
      </c>
      <c r="G289" s="32" t="str">
        <f aca="false">IF(H289="☑","Fatto",IF(E289="","",IF(F289&lt;0,"Scaduta",IF(F289&lt;=7,"Questa settimana",IF(F289&lt;=30,"Entro 30 giorni","Più avanti")))))</f>
        <v/>
      </c>
      <c r="H289" s="39"/>
      <c r="I289" s="30"/>
      <c r="J289" s="30"/>
      <c r="K289" s="30"/>
      <c r="L289" s="32" t="n">
        <f aca="false">IF(D289="Ogni mese",1,IF(D289="Ogni 3 mesi",3,IF(D289="Ogni 6 mesi",6,IF(D289="Ogni anno",12,0))))</f>
        <v>0</v>
      </c>
    </row>
    <row r="290" customFormat="false" ht="19.5" hidden="false" customHeight="true" outlineLevel="0" collapsed="false">
      <c r="A290" s="34"/>
      <c r="B290" s="34"/>
      <c r="C290" s="35"/>
      <c r="D290" s="34"/>
      <c r="E290" s="37" t="str">
        <f aca="true">IF(C290="","",IF(OR(L290=0,C290&gt;=TODAY()),C290,IF(EDATE(C290,INT(((YEAR(TODAY())-YEAR(C290))*12+MONTH(TODAY())-MONTH(C290))/L290)*L290)&gt;=TODAY(),EDATE(C290,INT(((YEAR(TODAY())-YEAR(C290))*12+MONTH(TODAY())-MONTH(C290))/L290)*L290),EDATE(C290,(INT(((YEAR(TODAY())-YEAR(C290))*12+MONTH(TODAY())-MONTH(C290))/L290)+1)*L290))))</f>
        <v/>
      </c>
      <c r="F290" s="38" t="str">
        <f aca="true">IF(OR(E290="",H290="☑"),"",E290-TODAY())</f>
        <v/>
      </c>
      <c r="G290" s="32" t="str">
        <f aca="false">IF(H290="☑","Fatto",IF(E290="","",IF(F290&lt;0,"Scaduta",IF(F290&lt;=7,"Questa settimana",IF(F290&lt;=30,"Entro 30 giorni","Più avanti")))))</f>
        <v/>
      </c>
      <c r="H290" s="40"/>
      <c r="I290" s="34"/>
      <c r="J290" s="34"/>
      <c r="K290" s="34"/>
      <c r="L290" s="32" t="n">
        <f aca="false">IF(D290="Ogni mese",1,IF(D290="Ogni 3 mesi",3,IF(D290="Ogni 6 mesi",6,IF(D290="Ogni anno",12,0))))</f>
        <v>0</v>
      </c>
    </row>
    <row r="291" customFormat="false" ht="19.5" hidden="false" customHeight="true" outlineLevel="0" collapsed="false">
      <c r="A291" s="30"/>
      <c r="B291" s="30"/>
      <c r="C291" s="31"/>
      <c r="D291" s="30"/>
      <c r="E291" s="37" t="str">
        <f aca="true">IF(C291="","",IF(OR(L291=0,C291&gt;=TODAY()),C291,IF(EDATE(C291,INT(((YEAR(TODAY())-YEAR(C291))*12+MONTH(TODAY())-MONTH(C291))/L291)*L291)&gt;=TODAY(),EDATE(C291,INT(((YEAR(TODAY())-YEAR(C291))*12+MONTH(TODAY())-MONTH(C291))/L291)*L291),EDATE(C291,(INT(((YEAR(TODAY())-YEAR(C291))*12+MONTH(TODAY())-MONTH(C291))/L291)+1)*L291))))</f>
        <v/>
      </c>
      <c r="F291" s="38" t="str">
        <f aca="true">IF(OR(E291="",H291="☑"),"",E291-TODAY())</f>
        <v/>
      </c>
      <c r="G291" s="32" t="str">
        <f aca="false">IF(H291="☑","Fatto",IF(E291="","",IF(F291&lt;0,"Scaduta",IF(F291&lt;=7,"Questa settimana",IF(F291&lt;=30,"Entro 30 giorni","Più avanti")))))</f>
        <v/>
      </c>
      <c r="H291" s="39"/>
      <c r="I291" s="30"/>
      <c r="J291" s="30"/>
      <c r="K291" s="30"/>
      <c r="L291" s="32" t="n">
        <f aca="false">IF(D291="Ogni mese",1,IF(D291="Ogni 3 mesi",3,IF(D291="Ogni 6 mesi",6,IF(D291="Ogni anno",12,0))))</f>
        <v>0</v>
      </c>
    </row>
    <row r="292" customFormat="false" ht="19.5" hidden="false" customHeight="true" outlineLevel="0" collapsed="false">
      <c r="A292" s="34"/>
      <c r="B292" s="34"/>
      <c r="C292" s="35"/>
      <c r="D292" s="34"/>
      <c r="E292" s="37" t="str">
        <f aca="true">IF(C292="","",IF(OR(L292=0,C292&gt;=TODAY()),C292,IF(EDATE(C292,INT(((YEAR(TODAY())-YEAR(C292))*12+MONTH(TODAY())-MONTH(C292))/L292)*L292)&gt;=TODAY(),EDATE(C292,INT(((YEAR(TODAY())-YEAR(C292))*12+MONTH(TODAY())-MONTH(C292))/L292)*L292),EDATE(C292,(INT(((YEAR(TODAY())-YEAR(C292))*12+MONTH(TODAY())-MONTH(C292))/L292)+1)*L292))))</f>
        <v/>
      </c>
      <c r="F292" s="38" t="str">
        <f aca="true">IF(OR(E292="",H292="☑"),"",E292-TODAY())</f>
        <v/>
      </c>
      <c r="G292" s="32" t="str">
        <f aca="false">IF(H292="☑","Fatto",IF(E292="","",IF(F292&lt;0,"Scaduta",IF(F292&lt;=7,"Questa settimana",IF(F292&lt;=30,"Entro 30 giorni","Più avanti")))))</f>
        <v/>
      </c>
      <c r="H292" s="40"/>
      <c r="I292" s="34"/>
      <c r="J292" s="34"/>
      <c r="K292" s="34"/>
      <c r="L292" s="32" t="n">
        <f aca="false">IF(D292="Ogni mese",1,IF(D292="Ogni 3 mesi",3,IF(D292="Ogni 6 mesi",6,IF(D292="Ogni anno",12,0))))</f>
        <v>0</v>
      </c>
    </row>
    <row r="293" customFormat="false" ht="19.5" hidden="false" customHeight="true" outlineLevel="0" collapsed="false">
      <c r="A293" s="30"/>
      <c r="B293" s="30"/>
      <c r="C293" s="31"/>
      <c r="D293" s="30"/>
      <c r="E293" s="37" t="str">
        <f aca="true">IF(C293="","",IF(OR(L293=0,C293&gt;=TODAY()),C293,IF(EDATE(C293,INT(((YEAR(TODAY())-YEAR(C293))*12+MONTH(TODAY())-MONTH(C293))/L293)*L293)&gt;=TODAY(),EDATE(C293,INT(((YEAR(TODAY())-YEAR(C293))*12+MONTH(TODAY())-MONTH(C293))/L293)*L293),EDATE(C293,(INT(((YEAR(TODAY())-YEAR(C293))*12+MONTH(TODAY())-MONTH(C293))/L293)+1)*L293))))</f>
        <v/>
      </c>
      <c r="F293" s="38" t="str">
        <f aca="true">IF(OR(E293="",H293="☑"),"",E293-TODAY())</f>
        <v/>
      </c>
      <c r="G293" s="32" t="str">
        <f aca="false">IF(H293="☑","Fatto",IF(E293="","",IF(F293&lt;0,"Scaduta",IF(F293&lt;=7,"Questa settimana",IF(F293&lt;=30,"Entro 30 giorni","Più avanti")))))</f>
        <v/>
      </c>
      <c r="H293" s="39"/>
      <c r="I293" s="30"/>
      <c r="J293" s="30"/>
      <c r="K293" s="30"/>
      <c r="L293" s="32" t="n">
        <f aca="false">IF(D293="Ogni mese",1,IF(D293="Ogni 3 mesi",3,IF(D293="Ogni 6 mesi",6,IF(D293="Ogni anno",12,0))))</f>
        <v>0</v>
      </c>
    </row>
    <row r="294" customFormat="false" ht="19.5" hidden="false" customHeight="true" outlineLevel="0" collapsed="false">
      <c r="A294" s="34"/>
      <c r="B294" s="34"/>
      <c r="C294" s="35"/>
      <c r="D294" s="34"/>
      <c r="E294" s="37" t="str">
        <f aca="true">IF(C294="","",IF(OR(L294=0,C294&gt;=TODAY()),C294,IF(EDATE(C294,INT(((YEAR(TODAY())-YEAR(C294))*12+MONTH(TODAY())-MONTH(C294))/L294)*L294)&gt;=TODAY(),EDATE(C294,INT(((YEAR(TODAY())-YEAR(C294))*12+MONTH(TODAY())-MONTH(C294))/L294)*L294),EDATE(C294,(INT(((YEAR(TODAY())-YEAR(C294))*12+MONTH(TODAY())-MONTH(C294))/L294)+1)*L294))))</f>
        <v/>
      </c>
      <c r="F294" s="38" t="str">
        <f aca="true">IF(OR(E294="",H294="☑"),"",E294-TODAY())</f>
        <v/>
      </c>
      <c r="G294" s="32" t="str">
        <f aca="false">IF(H294="☑","Fatto",IF(E294="","",IF(F294&lt;0,"Scaduta",IF(F294&lt;=7,"Questa settimana",IF(F294&lt;=30,"Entro 30 giorni","Più avanti")))))</f>
        <v/>
      </c>
      <c r="H294" s="40"/>
      <c r="I294" s="34"/>
      <c r="J294" s="34"/>
      <c r="K294" s="34"/>
      <c r="L294" s="32" t="n">
        <f aca="false">IF(D294="Ogni mese",1,IF(D294="Ogni 3 mesi",3,IF(D294="Ogni 6 mesi",6,IF(D294="Ogni anno",12,0))))</f>
        <v>0</v>
      </c>
    </row>
    <row r="295" customFormat="false" ht="19.5" hidden="false" customHeight="true" outlineLevel="0" collapsed="false">
      <c r="A295" s="30"/>
      <c r="B295" s="30"/>
      <c r="C295" s="31"/>
      <c r="D295" s="30"/>
      <c r="E295" s="37" t="str">
        <f aca="true">IF(C295="","",IF(OR(L295=0,C295&gt;=TODAY()),C295,IF(EDATE(C295,INT(((YEAR(TODAY())-YEAR(C295))*12+MONTH(TODAY())-MONTH(C295))/L295)*L295)&gt;=TODAY(),EDATE(C295,INT(((YEAR(TODAY())-YEAR(C295))*12+MONTH(TODAY())-MONTH(C295))/L295)*L295),EDATE(C295,(INT(((YEAR(TODAY())-YEAR(C295))*12+MONTH(TODAY())-MONTH(C295))/L295)+1)*L295))))</f>
        <v/>
      </c>
      <c r="F295" s="38" t="str">
        <f aca="true">IF(OR(E295="",H295="☑"),"",E295-TODAY())</f>
        <v/>
      </c>
      <c r="G295" s="32" t="str">
        <f aca="false">IF(H295="☑","Fatto",IF(E295="","",IF(F295&lt;0,"Scaduta",IF(F295&lt;=7,"Questa settimana",IF(F295&lt;=30,"Entro 30 giorni","Più avanti")))))</f>
        <v/>
      </c>
      <c r="H295" s="39"/>
      <c r="I295" s="30"/>
      <c r="J295" s="30"/>
      <c r="K295" s="30"/>
      <c r="L295" s="32" t="n">
        <f aca="false">IF(D295="Ogni mese",1,IF(D295="Ogni 3 mesi",3,IF(D295="Ogni 6 mesi",6,IF(D295="Ogni anno",12,0))))</f>
        <v>0</v>
      </c>
    </row>
    <row r="296" customFormat="false" ht="19.5" hidden="false" customHeight="true" outlineLevel="0" collapsed="false">
      <c r="A296" s="34"/>
      <c r="B296" s="34"/>
      <c r="C296" s="35"/>
      <c r="D296" s="34"/>
      <c r="E296" s="37" t="str">
        <f aca="true">IF(C296="","",IF(OR(L296=0,C296&gt;=TODAY()),C296,IF(EDATE(C296,INT(((YEAR(TODAY())-YEAR(C296))*12+MONTH(TODAY())-MONTH(C296))/L296)*L296)&gt;=TODAY(),EDATE(C296,INT(((YEAR(TODAY())-YEAR(C296))*12+MONTH(TODAY())-MONTH(C296))/L296)*L296),EDATE(C296,(INT(((YEAR(TODAY())-YEAR(C296))*12+MONTH(TODAY())-MONTH(C296))/L296)+1)*L296))))</f>
        <v/>
      </c>
      <c r="F296" s="38" t="str">
        <f aca="true">IF(OR(E296="",H296="☑"),"",E296-TODAY())</f>
        <v/>
      </c>
      <c r="G296" s="32" t="str">
        <f aca="false">IF(H296="☑","Fatto",IF(E296="","",IF(F296&lt;0,"Scaduta",IF(F296&lt;=7,"Questa settimana",IF(F296&lt;=30,"Entro 30 giorni","Più avanti")))))</f>
        <v/>
      </c>
      <c r="H296" s="40"/>
      <c r="I296" s="34"/>
      <c r="J296" s="34"/>
      <c r="K296" s="34"/>
      <c r="L296" s="32" t="n">
        <f aca="false">IF(D296="Ogni mese",1,IF(D296="Ogni 3 mesi",3,IF(D296="Ogni 6 mesi",6,IF(D296="Ogni anno",12,0))))</f>
        <v>0</v>
      </c>
    </row>
    <row r="297" customFormat="false" ht="19.5" hidden="false" customHeight="true" outlineLevel="0" collapsed="false">
      <c r="A297" s="30"/>
      <c r="B297" s="30"/>
      <c r="C297" s="31"/>
      <c r="D297" s="30"/>
      <c r="E297" s="37" t="str">
        <f aca="true">IF(C297="","",IF(OR(L297=0,C297&gt;=TODAY()),C297,IF(EDATE(C297,INT(((YEAR(TODAY())-YEAR(C297))*12+MONTH(TODAY())-MONTH(C297))/L297)*L297)&gt;=TODAY(),EDATE(C297,INT(((YEAR(TODAY())-YEAR(C297))*12+MONTH(TODAY())-MONTH(C297))/L297)*L297),EDATE(C297,(INT(((YEAR(TODAY())-YEAR(C297))*12+MONTH(TODAY())-MONTH(C297))/L297)+1)*L297))))</f>
        <v/>
      </c>
      <c r="F297" s="38" t="str">
        <f aca="true">IF(OR(E297="",H297="☑"),"",E297-TODAY())</f>
        <v/>
      </c>
      <c r="G297" s="32" t="str">
        <f aca="false">IF(H297="☑","Fatto",IF(E297="","",IF(F297&lt;0,"Scaduta",IF(F297&lt;=7,"Questa settimana",IF(F297&lt;=30,"Entro 30 giorni","Più avanti")))))</f>
        <v/>
      </c>
      <c r="H297" s="39"/>
      <c r="I297" s="30"/>
      <c r="J297" s="30"/>
      <c r="K297" s="30"/>
      <c r="L297" s="32" t="n">
        <f aca="false">IF(D297="Ogni mese",1,IF(D297="Ogni 3 mesi",3,IF(D297="Ogni 6 mesi",6,IF(D297="Ogni anno",12,0))))</f>
        <v>0</v>
      </c>
    </row>
    <row r="298" customFormat="false" ht="19.5" hidden="false" customHeight="true" outlineLevel="0" collapsed="false">
      <c r="A298" s="34"/>
      <c r="B298" s="34"/>
      <c r="C298" s="35"/>
      <c r="D298" s="34"/>
      <c r="E298" s="37" t="str">
        <f aca="true">IF(C298="","",IF(OR(L298=0,C298&gt;=TODAY()),C298,IF(EDATE(C298,INT(((YEAR(TODAY())-YEAR(C298))*12+MONTH(TODAY())-MONTH(C298))/L298)*L298)&gt;=TODAY(),EDATE(C298,INT(((YEAR(TODAY())-YEAR(C298))*12+MONTH(TODAY())-MONTH(C298))/L298)*L298),EDATE(C298,(INT(((YEAR(TODAY())-YEAR(C298))*12+MONTH(TODAY())-MONTH(C298))/L298)+1)*L298))))</f>
        <v/>
      </c>
      <c r="F298" s="38" t="str">
        <f aca="true">IF(OR(E298="",H298="☑"),"",E298-TODAY())</f>
        <v/>
      </c>
      <c r="G298" s="32" t="str">
        <f aca="false">IF(H298="☑","Fatto",IF(E298="","",IF(F298&lt;0,"Scaduta",IF(F298&lt;=7,"Questa settimana",IF(F298&lt;=30,"Entro 30 giorni","Più avanti")))))</f>
        <v/>
      </c>
      <c r="H298" s="40"/>
      <c r="I298" s="34"/>
      <c r="J298" s="34"/>
      <c r="K298" s="34"/>
      <c r="L298" s="32" t="n">
        <f aca="false">IF(D298="Ogni mese",1,IF(D298="Ogni 3 mesi",3,IF(D298="Ogni 6 mesi",6,IF(D298="Ogni anno",12,0))))</f>
        <v>0</v>
      </c>
    </row>
    <row r="299" customFormat="false" ht="19.5" hidden="false" customHeight="true" outlineLevel="0" collapsed="false">
      <c r="A299" s="30"/>
      <c r="B299" s="30"/>
      <c r="C299" s="31"/>
      <c r="D299" s="30"/>
      <c r="E299" s="37" t="str">
        <f aca="true">IF(C299="","",IF(OR(L299=0,C299&gt;=TODAY()),C299,IF(EDATE(C299,INT(((YEAR(TODAY())-YEAR(C299))*12+MONTH(TODAY())-MONTH(C299))/L299)*L299)&gt;=TODAY(),EDATE(C299,INT(((YEAR(TODAY())-YEAR(C299))*12+MONTH(TODAY())-MONTH(C299))/L299)*L299),EDATE(C299,(INT(((YEAR(TODAY())-YEAR(C299))*12+MONTH(TODAY())-MONTH(C299))/L299)+1)*L299))))</f>
        <v/>
      </c>
      <c r="F299" s="38" t="str">
        <f aca="true">IF(OR(E299="",H299="☑"),"",E299-TODAY())</f>
        <v/>
      </c>
      <c r="G299" s="32" t="str">
        <f aca="false">IF(H299="☑","Fatto",IF(E299="","",IF(F299&lt;0,"Scaduta",IF(F299&lt;=7,"Questa settimana",IF(F299&lt;=30,"Entro 30 giorni","Più avanti")))))</f>
        <v/>
      </c>
      <c r="H299" s="39"/>
      <c r="I299" s="30"/>
      <c r="J299" s="30"/>
      <c r="K299" s="30"/>
      <c r="L299" s="32" t="n">
        <f aca="false">IF(D299="Ogni mese",1,IF(D299="Ogni 3 mesi",3,IF(D299="Ogni 6 mesi",6,IF(D299="Ogni anno",12,0))))</f>
        <v>0</v>
      </c>
    </row>
    <row r="300" customFormat="false" ht="19.5" hidden="false" customHeight="true" outlineLevel="0" collapsed="false">
      <c r="A300" s="34"/>
      <c r="B300" s="34"/>
      <c r="C300" s="35"/>
      <c r="D300" s="34"/>
      <c r="E300" s="37" t="str">
        <f aca="true">IF(C300="","",IF(OR(L300=0,C300&gt;=TODAY()),C300,IF(EDATE(C300,INT(((YEAR(TODAY())-YEAR(C300))*12+MONTH(TODAY())-MONTH(C300))/L300)*L300)&gt;=TODAY(),EDATE(C300,INT(((YEAR(TODAY())-YEAR(C300))*12+MONTH(TODAY())-MONTH(C300))/L300)*L300),EDATE(C300,(INT(((YEAR(TODAY())-YEAR(C300))*12+MONTH(TODAY())-MONTH(C300))/L300)+1)*L300))))</f>
        <v/>
      </c>
      <c r="F300" s="38" t="str">
        <f aca="true">IF(OR(E300="",H300="☑"),"",E300-TODAY())</f>
        <v/>
      </c>
      <c r="G300" s="32" t="str">
        <f aca="false">IF(H300="☑","Fatto",IF(E300="","",IF(F300&lt;0,"Scaduta",IF(F300&lt;=7,"Questa settimana",IF(F300&lt;=30,"Entro 30 giorni","Più avanti")))))</f>
        <v/>
      </c>
      <c r="H300" s="40"/>
      <c r="I300" s="34"/>
      <c r="J300" s="34"/>
      <c r="K300" s="34"/>
      <c r="L300" s="32" t="n">
        <f aca="false">IF(D300="Ogni mese",1,IF(D300="Ogni 3 mesi",3,IF(D300="Ogni 6 mesi",6,IF(D300="Ogni anno",12,0))))</f>
        <v>0</v>
      </c>
    </row>
    <row r="301" customFormat="false" ht="19.5" hidden="false" customHeight="true" outlineLevel="0" collapsed="false">
      <c r="A301" s="30"/>
      <c r="B301" s="30"/>
      <c r="C301" s="31"/>
      <c r="D301" s="30"/>
      <c r="E301" s="37" t="str">
        <f aca="true">IF(C301="","",IF(OR(L301=0,C301&gt;=TODAY()),C301,IF(EDATE(C301,INT(((YEAR(TODAY())-YEAR(C301))*12+MONTH(TODAY())-MONTH(C301))/L301)*L301)&gt;=TODAY(),EDATE(C301,INT(((YEAR(TODAY())-YEAR(C301))*12+MONTH(TODAY())-MONTH(C301))/L301)*L301),EDATE(C301,(INT(((YEAR(TODAY())-YEAR(C301))*12+MONTH(TODAY())-MONTH(C301))/L301)+1)*L301))))</f>
        <v/>
      </c>
      <c r="F301" s="38" t="str">
        <f aca="true">IF(OR(E301="",H301="☑"),"",E301-TODAY())</f>
        <v/>
      </c>
      <c r="G301" s="32" t="str">
        <f aca="false">IF(H301="☑","Fatto",IF(E301="","",IF(F301&lt;0,"Scaduta",IF(F301&lt;=7,"Questa settimana",IF(F301&lt;=30,"Entro 30 giorni","Più avanti")))))</f>
        <v/>
      </c>
      <c r="H301" s="39"/>
      <c r="I301" s="30"/>
      <c r="J301" s="30"/>
      <c r="K301" s="30"/>
      <c r="L301" s="32" t="n">
        <f aca="false">IF(D301="Ogni mese",1,IF(D301="Ogni 3 mesi",3,IF(D301="Ogni 6 mesi",6,IF(D301="Ogni anno",12,0))))</f>
        <v>0</v>
      </c>
    </row>
    <row r="302" customFormat="false" ht="19.5" hidden="false" customHeight="true" outlineLevel="0" collapsed="false">
      <c r="A302" s="34"/>
      <c r="B302" s="34"/>
      <c r="C302" s="35"/>
      <c r="D302" s="34"/>
      <c r="E302" s="37" t="str">
        <f aca="true">IF(C302="","",IF(OR(L302=0,C302&gt;=TODAY()),C302,IF(EDATE(C302,INT(((YEAR(TODAY())-YEAR(C302))*12+MONTH(TODAY())-MONTH(C302))/L302)*L302)&gt;=TODAY(),EDATE(C302,INT(((YEAR(TODAY())-YEAR(C302))*12+MONTH(TODAY())-MONTH(C302))/L302)*L302),EDATE(C302,(INT(((YEAR(TODAY())-YEAR(C302))*12+MONTH(TODAY())-MONTH(C302))/L302)+1)*L302))))</f>
        <v/>
      </c>
      <c r="F302" s="38" t="str">
        <f aca="true">IF(OR(E302="",H302="☑"),"",E302-TODAY())</f>
        <v/>
      </c>
      <c r="G302" s="32" t="str">
        <f aca="false">IF(H302="☑","Fatto",IF(E302="","",IF(F302&lt;0,"Scaduta",IF(F302&lt;=7,"Questa settimana",IF(F302&lt;=30,"Entro 30 giorni","Più avanti")))))</f>
        <v/>
      </c>
      <c r="H302" s="40"/>
      <c r="I302" s="34"/>
      <c r="J302" s="34"/>
      <c r="K302" s="34"/>
      <c r="L302" s="32" t="n">
        <f aca="false">IF(D302="Ogni mese",1,IF(D302="Ogni 3 mesi",3,IF(D302="Ogni 6 mesi",6,IF(D302="Ogni anno",12,0))))</f>
        <v>0</v>
      </c>
    </row>
    <row r="303" customFormat="false" ht="19.5" hidden="false" customHeight="true" outlineLevel="0" collapsed="false">
      <c r="A303" s="30"/>
      <c r="B303" s="30"/>
      <c r="C303" s="31"/>
      <c r="D303" s="30"/>
      <c r="E303" s="37" t="str">
        <f aca="true">IF(C303="","",IF(OR(L303=0,C303&gt;=TODAY()),C303,IF(EDATE(C303,INT(((YEAR(TODAY())-YEAR(C303))*12+MONTH(TODAY())-MONTH(C303))/L303)*L303)&gt;=TODAY(),EDATE(C303,INT(((YEAR(TODAY())-YEAR(C303))*12+MONTH(TODAY())-MONTH(C303))/L303)*L303),EDATE(C303,(INT(((YEAR(TODAY())-YEAR(C303))*12+MONTH(TODAY())-MONTH(C303))/L303)+1)*L303))))</f>
        <v/>
      </c>
      <c r="F303" s="38" t="str">
        <f aca="true">IF(OR(E303="",H303="☑"),"",E303-TODAY())</f>
        <v/>
      </c>
      <c r="G303" s="32" t="str">
        <f aca="false">IF(H303="☑","Fatto",IF(E303="","",IF(F303&lt;0,"Scaduta",IF(F303&lt;=7,"Questa settimana",IF(F303&lt;=30,"Entro 30 giorni","Più avanti")))))</f>
        <v/>
      </c>
      <c r="H303" s="39"/>
      <c r="I303" s="30"/>
      <c r="J303" s="30"/>
      <c r="K303" s="30"/>
      <c r="L303" s="32" t="n">
        <f aca="false">IF(D303="Ogni mese",1,IF(D303="Ogni 3 mesi",3,IF(D303="Ogni 6 mesi",6,IF(D303="Ogni anno",12,0))))</f>
        <v>0</v>
      </c>
    </row>
    <row r="304" customFormat="false" ht="19.5" hidden="false" customHeight="true" outlineLevel="0" collapsed="false">
      <c r="A304" s="34"/>
      <c r="B304" s="34"/>
      <c r="C304" s="35"/>
      <c r="D304" s="34"/>
      <c r="E304" s="37" t="str">
        <f aca="true">IF(C304="","",IF(OR(L304=0,C304&gt;=TODAY()),C304,IF(EDATE(C304,INT(((YEAR(TODAY())-YEAR(C304))*12+MONTH(TODAY())-MONTH(C304))/L304)*L304)&gt;=TODAY(),EDATE(C304,INT(((YEAR(TODAY())-YEAR(C304))*12+MONTH(TODAY())-MONTH(C304))/L304)*L304),EDATE(C304,(INT(((YEAR(TODAY())-YEAR(C304))*12+MONTH(TODAY())-MONTH(C304))/L304)+1)*L304))))</f>
        <v/>
      </c>
      <c r="F304" s="38" t="str">
        <f aca="true">IF(OR(E304="",H304="☑"),"",E304-TODAY())</f>
        <v/>
      </c>
      <c r="G304" s="32" t="str">
        <f aca="false">IF(H304="☑","Fatto",IF(E304="","",IF(F304&lt;0,"Scaduta",IF(F304&lt;=7,"Questa settimana",IF(F304&lt;=30,"Entro 30 giorni","Più avanti")))))</f>
        <v/>
      </c>
      <c r="H304" s="40"/>
      <c r="I304" s="34"/>
      <c r="J304" s="34"/>
      <c r="K304" s="34"/>
      <c r="L304" s="32" t="n">
        <f aca="false">IF(D304="Ogni mese",1,IF(D304="Ogni 3 mesi",3,IF(D304="Ogni 6 mesi",6,IF(D304="Ogni anno",12,0))))</f>
        <v>0</v>
      </c>
    </row>
  </sheetData>
  <conditionalFormatting sqref="G5:G304">
    <cfRule type="expression" priority="2" aboveAverage="0" equalAverage="0" bottom="0" percent="0" rank="0" text="" dxfId="2">
      <formula>G5="Scaduta"</formula>
    </cfRule>
    <cfRule type="expression" priority="3" aboveAverage="0" equalAverage="0" bottom="0" percent="0" rank="0" text="" dxfId="3">
      <formula>G5="Questa settimana"</formula>
    </cfRule>
    <cfRule type="expression" priority="4" aboveAverage="0" equalAverage="0" bottom="0" percent="0" rank="0" text="" dxfId="4">
      <formula>G5="Fatto"</formula>
    </cfRule>
  </conditionalFormatting>
  <conditionalFormatting sqref="A5:K304">
    <cfRule type="expression" priority="5" aboveAverage="0" equalAverage="0" bottom="0" percent="0" rank="0" text="" dxfId="5">
      <formula>$H5="☑"</formula>
    </cfRule>
  </conditionalFormatting>
  <dataValidations count="5">
    <dataValidation allowBlank="true" errorStyle="stop" operator="between" prompt="Scegli dall'elenco della scheda Famiglia, oppure scrivi (es. «Tutti»)." promptTitle="Scegli o scrivi" showDropDown="false" showErrorMessage="false" showInputMessage="false" sqref="B5:B304" type="list">
      <formula1>Famiglia!$A$5:$A$34</formula1>
      <formula2>0</formula2>
    </dataValidation>
    <dataValidation allowBlank="true" errorStyle="stop" operator="between" prompt="Scegli dall'elenco della scheda Famiglia, oppure scrivi (es. «Tutti»)." promptTitle="Scegli o scrivi" showDropDown="false" showErrorMessage="false" showInputMessage="false" sqref="I5:I304" type="list">
      <formula1>Famiglia!$A$5:$A$34</formula1>
      <formula2>0</formula2>
    </dataValidation>
    <dataValidation allowBlank="true" errorStyle="stop" operator="between" showDropDown="false" showErrorMessage="true" showInputMessage="false" sqref="D5:D304" type="list">
      <formula1>"Mai,Ogni mese,Ogni 3 mesi,Ogni 6 mesi,Ogni anno"</formula1>
      <formula2>0</formula2>
    </dataValidation>
    <dataValidation allowBlank="true" errorStyle="stop" operator="between" showDropDown="false" showErrorMessage="true" showInputMessage="false" sqref="H5:H304" type="list">
      <formula1>"☐,☑"</formula1>
      <formula2>0</formula2>
    </dataValidation>
    <dataValidation allowBlank="true" errorStyle="stop" operator="between" showDropDown="false" showErrorMessage="true" showInputMessage="false" sqref="J5:J304" type="list">
      <formula1>"Alta,Normale"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3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16"/>
    <col collapsed="false" customWidth="true" hidden="false" outlineLevel="0" max="12" min="12" style="0" width="28"/>
    <col collapsed="false" customWidth="true" hidden="false" outlineLevel="0" max="14" min="13" style="0" width="24"/>
    <col collapsed="false" customWidth="true" hidden="false" outlineLevel="0" max="15" min="15" style="0" width="26"/>
    <col collapsed="false" customWidth="true" hidden="false" outlineLevel="0" max="16" min="16" style="0" width="30"/>
    <col collapsed="false" customWidth="true" hidden="false" outlineLevel="0" max="17" min="17" style="0" width="26"/>
    <col collapsed="false" customWidth="true" hidden="false" outlineLevel="0" max="18" min="18" style="0" width="22"/>
  </cols>
  <sheetData>
    <row r="1" customFormat="false" ht="27.75" hidden="false" customHeight="true" outlineLevel="0" collapsed="false">
      <c r="A1" s="28" t="s">
        <v>81</v>
      </c>
    </row>
    <row r="2" customFormat="false" ht="15" hidden="false" customHeight="false" outlineLevel="0" collapsed="false">
      <c r="A2" s="2" t="s">
        <v>82</v>
      </c>
    </row>
    <row r="4" customFormat="false" ht="31.5" hidden="false" customHeight="true" outlineLevel="0" collapsed="false">
      <c r="A4" s="29" t="s">
        <v>60</v>
      </c>
      <c r="B4" s="29" t="s">
        <v>83</v>
      </c>
      <c r="C4" s="29" t="s">
        <v>13</v>
      </c>
      <c r="D4" s="29" t="s">
        <v>84</v>
      </c>
      <c r="E4" s="29" t="s">
        <v>64</v>
      </c>
      <c r="F4" s="29" t="s">
        <v>85</v>
      </c>
      <c r="G4" s="29" t="s">
        <v>86</v>
      </c>
      <c r="H4" s="29" t="s">
        <v>87</v>
      </c>
      <c r="I4" s="29" t="s">
        <v>88</v>
      </c>
      <c r="J4" s="29" t="s">
        <v>89</v>
      </c>
      <c r="K4" s="29" t="s">
        <v>90</v>
      </c>
      <c r="L4" s="29" t="s">
        <v>91</v>
      </c>
      <c r="M4" s="29" t="s">
        <v>92</v>
      </c>
      <c r="N4" s="29" t="s">
        <v>93</v>
      </c>
      <c r="O4" s="29" t="s">
        <v>94</v>
      </c>
      <c r="P4" s="29" t="s">
        <v>95</v>
      </c>
      <c r="Q4" s="29" t="s">
        <v>96</v>
      </c>
      <c r="R4" s="29" t="s">
        <v>97</v>
      </c>
    </row>
    <row r="5" customFormat="false" ht="33.75" hidden="false" customHeight="true" outlineLevel="0" collapsed="false">
      <c r="A5" s="31" t="n">
        <v>46319</v>
      </c>
      <c r="B5" s="42" t="n">
        <v>0.4375</v>
      </c>
      <c r="C5" s="30" t="s">
        <v>46</v>
      </c>
      <c r="D5" s="30" t="s">
        <v>98</v>
      </c>
      <c r="E5" s="30" t="s">
        <v>99</v>
      </c>
      <c r="F5" s="37" t="n">
        <f aca="false">IF(A5="","",IF(G5&lt;&gt;"",G5,WORKDAY(A5,-2)))</f>
        <v>46317</v>
      </c>
      <c r="G5" s="31"/>
      <c r="H5" s="30" t="s">
        <v>100</v>
      </c>
      <c r="I5" s="30" t="s">
        <v>101</v>
      </c>
      <c r="J5" s="31"/>
      <c r="K5" s="30"/>
      <c r="L5" s="30" t="s">
        <v>102</v>
      </c>
      <c r="M5" s="30" t="s">
        <v>103</v>
      </c>
      <c r="N5" s="30" t="s">
        <v>104</v>
      </c>
      <c r="O5" s="30" t="s">
        <v>105</v>
      </c>
      <c r="P5" s="30"/>
      <c r="Q5" s="30"/>
      <c r="R5" s="30"/>
    </row>
    <row r="6" customFormat="false" ht="33.75" hidden="false" customHeight="true" outlineLevel="0" collapsed="false">
      <c r="A6" s="35" t="n">
        <v>46325</v>
      </c>
      <c r="B6" s="43" t="n">
        <v>0.625</v>
      </c>
      <c r="C6" s="34" t="s">
        <v>46</v>
      </c>
      <c r="D6" s="34" t="s">
        <v>106</v>
      </c>
      <c r="E6" s="34" t="s">
        <v>99</v>
      </c>
      <c r="F6" s="37" t="n">
        <f aca="false">IF(A6="","",IF(G6&lt;&gt;"",G6,WORKDAY(A6,-2)))</f>
        <v>46323</v>
      </c>
      <c r="G6" s="35"/>
      <c r="H6" s="34" t="s">
        <v>107</v>
      </c>
      <c r="I6" s="34" t="s">
        <v>108</v>
      </c>
      <c r="J6" s="35" t="n">
        <v>46613</v>
      </c>
      <c r="K6" s="34" t="s">
        <v>109</v>
      </c>
      <c r="L6" s="34" t="s">
        <v>110</v>
      </c>
      <c r="M6" s="34"/>
      <c r="N6" s="34"/>
      <c r="O6" s="34"/>
      <c r="P6" s="34"/>
      <c r="Q6" s="34"/>
      <c r="R6" s="34"/>
    </row>
    <row r="7" customFormat="false" ht="33.75" hidden="false" customHeight="true" outlineLevel="0" collapsed="false">
      <c r="A7" s="31" t="n">
        <v>46293</v>
      </c>
      <c r="B7" s="42" t="n">
        <v>0.375</v>
      </c>
      <c r="C7" s="30" t="s">
        <v>53</v>
      </c>
      <c r="D7" s="30" t="s">
        <v>111</v>
      </c>
      <c r="E7" s="30" t="s">
        <v>112</v>
      </c>
      <c r="F7" s="37" t="n">
        <f aca="false">IF(A7="","",IF(G7&lt;&gt;"",G7,WORKDAY(A7,-2)))</f>
        <v>46289</v>
      </c>
      <c r="G7" s="31"/>
      <c r="H7" s="30" t="s">
        <v>100</v>
      </c>
      <c r="I7" s="30"/>
      <c r="J7" s="31"/>
      <c r="K7" s="30"/>
      <c r="L7" s="30"/>
      <c r="M7" s="30"/>
      <c r="N7" s="30"/>
      <c r="O7" s="30"/>
      <c r="P7" s="30" t="s">
        <v>113</v>
      </c>
      <c r="Q7" s="30" t="s">
        <v>114</v>
      </c>
      <c r="R7" s="30"/>
    </row>
    <row r="8" customFormat="false" ht="33.75" hidden="false" customHeight="true" outlineLevel="0" collapsed="false">
      <c r="A8" s="35"/>
      <c r="B8" s="43"/>
      <c r="C8" s="34"/>
      <c r="D8" s="34"/>
      <c r="E8" s="34"/>
      <c r="F8" s="37" t="str">
        <f aca="false">IF(A8="","",IF(G8&lt;&gt;"",G8,WORKDAY(A8,-2)))</f>
        <v/>
      </c>
      <c r="G8" s="35"/>
      <c r="H8" s="34"/>
      <c r="I8" s="34"/>
      <c r="J8" s="35"/>
      <c r="K8" s="34"/>
      <c r="L8" s="34"/>
      <c r="M8" s="34"/>
      <c r="N8" s="34"/>
      <c r="O8" s="34"/>
      <c r="P8" s="34"/>
      <c r="Q8" s="34"/>
      <c r="R8" s="34"/>
    </row>
    <row r="9" customFormat="false" ht="33.75" hidden="false" customHeight="true" outlineLevel="0" collapsed="false">
      <c r="A9" s="31"/>
      <c r="B9" s="42"/>
      <c r="C9" s="30"/>
      <c r="D9" s="30"/>
      <c r="E9" s="30"/>
      <c r="F9" s="37" t="str">
        <f aca="false">IF(A9="","",IF(G9&lt;&gt;"",G9,WORKDAY(A9,-2)))</f>
        <v/>
      </c>
      <c r="G9" s="31"/>
      <c r="H9" s="30"/>
      <c r="I9" s="30"/>
      <c r="J9" s="31"/>
      <c r="K9" s="30"/>
      <c r="L9" s="30"/>
      <c r="M9" s="30"/>
      <c r="N9" s="30"/>
      <c r="O9" s="30"/>
      <c r="P9" s="30"/>
      <c r="Q9" s="30"/>
      <c r="R9" s="30"/>
    </row>
    <row r="10" customFormat="false" ht="33.75" hidden="false" customHeight="true" outlineLevel="0" collapsed="false">
      <c r="A10" s="35"/>
      <c r="B10" s="43"/>
      <c r="C10" s="34"/>
      <c r="D10" s="34"/>
      <c r="E10" s="34"/>
      <c r="F10" s="37" t="str">
        <f aca="false">IF(A10="","",IF(G10&lt;&gt;"",G10,WORKDAY(A10,-2)))</f>
        <v/>
      </c>
      <c r="G10" s="35"/>
      <c r="H10" s="34"/>
      <c r="I10" s="34"/>
      <c r="J10" s="35"/>
      <c r="K10" s="34"/>
      <c r="L10" s="34"/>
      <c r="M10" s="34"/>
      <c r="N10" s="34"/>
      <c r="O10" s="34"/>
      <c r="P10" s="34"/>
      <c r="Q10" s="34"/>
      <c r="R10" s="34"/>
    </row>
    <row r="11" customFormat="false" ht="33.75" hidden="false" customHeight="true" outlineLevel="0" collapsed="false">
      <c r="A11" s="31"/>
      <c r="B11" s="42"/>
      <c r="C11" s="30"/>
      <c r="D11" s="30"/>
      <c r="E11" s="30"/>
      <c r="F11" s="37" t="str">
        <f aca="false">IF(A11="","",IF(G11&lt;&gt;"",G11,WORKDAY(A11,-2)))</f>
        <v/>
      </c>
      <c r="G11" s="31"/>
      <c r="H11" s="30"/>
      <c r="I11" s="30"/>
      <c r="J11" s="31"/>
      <c r="K11" s="30"/>
      <c r="L11" s="30"/>
      <c r="M11" s="30"/>
      <c r="N11" s="30"/>
      <c r="O11" s="30"/>
      <c r="P11" s="30"/>
      <c r="Q11" s="30"/>
      <c r="R11" s="30"/>
    </row>
    <row r="12" customFormat="false" ht="33.75" hidden="false" customHeight="true" outlineLevel="0" collapsed="false">
      <c r="A12" s="35"/>
      <c r="B12" s="43"/>
      <c r="C12" s="34"/>
      <c r="D12" s="34"/>
      <c r="E12" s="34"/>
      <c r="F12" s="37" t="str">
        <f aca="false">IF(A12="","",IF(G12&lt;&gt;"",G12,WORKDAY(A12,-2)))</f>
        <v/>
      </c>
      <c r="G12" s="35"/>
      <c r="H12" s="34"/>
      <c r="I12" s="34"/>
      <c r="J12" s="35"/>
      <c r="K12" s="34"/>
      <c r="L12" s="34"/>
      <c r="M12" s="34"/>
      <c r="N12" s="34"/>
      <c r="O12" s="34"/>
      <c r="P12" s="34"/>
      <c r="Q12" s="34"/>
      <c r="R12" s="34"/>
    </row>
    <row r="13" customFormat="false" ht="33.75" hidden="false" customHeight="true" outlineLevel="0" collapsed="false">
      <c r="A13" s="31"/>
      <c r="B13" s="42"/>
      <c r="C13" s="30"/>
      <c r="D13" s="30"/>
      <c r="E13" s="30"/>
      <c r="F13" s="37" t="str">
        <f aca="false">IF(A13="","",IF(G13&lt;&gt;"",G13,WORKDAY(A13,-2)))</f>
        <v/>
      </c>
      <c r="G13" s="31"/>
      <c r="H13" s="30"/>
      <c r="I13" s="30"/>
      <c r="J13" s="31"/>
      <c r="K13" s="30"/>
      <c r="L13" s="30"/>
      <c r="M13" s="30"/>
      <c r="N13" s="30"/>
      <c r="O13" s="30"/>
      <c r="P13" s="30"/>
      <c r="Q13" s="30"/>
      <c r="R13" s="30"/>
    </row>
    <row r="14" customFormat="false" ht="33.75" hidden="false" customHeight="true" outlineLevel="0" collapsed="false">
      <c r="A14" s="35"/>
      <c r="B14" s="43"/>
      <c r="C14" s="34"/>
      <c r="D14" s="34"/>
      <c r="E14" s="34"/>
      <c r="F14" s="37" t="str">
        <f aca="false">IF(A14="","",IF(G14&lt;&gt;"",G14,WORKDAY(A14,-2)))</f>
        <v/>
      </c>
      <c r="G14" s="35"/>
      <c r="H14" s="34"/>
      <c r="I14" s="34"/>
      <c r="J14" s="35"/>
      <c r="K14" s="34"/>
      <c r="L14" s="34"/>
      <c r="M14" s="34"/>
      <c r="N14" s="34"/>
      <c r="O14" s="34"/>
      <c r="P14" s="34"/>
      <c r="Q14" s="34"/>
      <c r="R14" s="34"/>
    </row>
    <row r="15" customFormat="false" ht="33.75" hidden="false" customHeight="true" outlineLevel="0" collapsed="false">
      <c r="A15" s="31"/>
      <c r="B15" s="42"/>
      <c r="C15" s="30"/>
      <c r="D15" s="30"/>
      <c r="E15" s="30"/>
      <c r="F15" s="37" t="str">
        <f aca="false">IF(A15="","",IF(G15&lt;&gt;"",G15,WORKDAY(A15,-2)))</f>
        <v/>
      </c>
      <c r="G15" s="31"/>
      <c r="H15" s="30"/>
      <c r="I15" s="30"/>
      <c r="J15" s="31"/>
      <c r="K15" s="30"/>
      <c r="L15" s="30"/>
      <c r="M15" s="30"/>
      <c r="N15" s="30"/>
      <c r="O15" s="30"/>
      <c r="P15" s="30"/>
      <c r="Q15" s="30"/>
      <c r="R15" s="30"/>
    </row>
    <row r="16" customFormat="false" ht="33.75" hidden="false" customHeight="true" outlineLevel="0" collapsed="false">
      <c r="A16" s="35"/>
      <c r="B16" s="43"/>
      <c r="C16" s="34"/>
      <c r="D16" s="34"/>
      <c r="E16" s="34"/>
      <c r="F16" s="37" t="str">
        <f aca="false">IF(A16="","",IF(G16&lt;&gt;"",G16,WORKDAY(A16,-2)))</f>
        <v/>
      </c>
      <c r="G16" s="35"/>
      <c r="H16" s="34"/>
      <c r="I16" s="34"/>
      <c r="J16" s="35"/>
      <c r="K16" s="34"/>
      <c r="L16" s="34"/>
      <c r="M16" s="34"/>
      <c r="N16" s="34"/>
      <c r="O16" s="34"/>
      <c r="P16" s="34"/>
      <c r="Q16" s="34"/>
      <c r="R16" s="34"/>
    </row>
    <row r="17" customFormat="false" ht="33.75" hidden="false" customHeight="true" outlineLevel="0" collapsed="false">
      <c r="A17" s="31"/>
      <c r="B17" s="42"/>
      <c r="C17" s="30"/>
      <c r="D17" s="30"/>
      <c r="E17" s="30"/>
      <c r="F17" s="37" t="str">
        <f aca="false">IF(A17="","",IF(G17&lt;&gt;"",G17,WORKDAY(A17,-2)))</f>
        <v/>
      </c>
      <c r="G17" s="31"/>
      <c r="H17" s="30"/>
      <c r="I17" s="30"/>
      <c r="J17" s="31"/>
      <c r="K17" s="30"/>
      <c r="L17" s="30"/>
      <c r="M17" s="30"/>
      <c r="N17" s="30"/>
      <c r="O17" s="30"/>
      <c r="P17" s="30"/>
      <c r="Q17" s="30"/>
      <c r="R17" s="30"/>
    </row>
    <row r="18" customFormat="false" ht="33.75" hidden="false" customHeight="true" outlineLevel="0" collapsed="false">
      <c r="A18" s="35"/>
      <c r="B18" s="43"/>
      <c r="C18" s="34"/>
      <c r="D18" s="34"/>
      <c r="E18" s="34"/>
      <c r="F18" s="37" t="str">
        <f aca="false">IF(A18="","",IF(G18&lt;&gt;"",G18,WORKDAY(A18,-2)))</f>
        <v/>
      </c>
      <c r="G18" s="35"/>
      <c r="H18" s="34"/>
      <c r="I18" s="34"/>
      <c r="J18" s="35"/>
      <c r="K18" s="34"/>
      <c r="L18" s="34"/>
      <c r="M18" s="34"/>
      <c r="N18" s="34"/>
      <c r="O18" s="34"/>
      <c r="P18" s="34"/>
      <c r="Q18" s="34"/>
      <c r="R18" s="34"/>
    </row>
    <row r="19" customFormat="false" ht="33.75" hidden="false" customHeight="true" outlineLevel="0" collapsed="false">
      <c r="A19" s="31"/>
      <c r="B19" s="42"/>
      <c r="C19" s="30"/>
      <c r="D19" s="30"/>
      <c r="E19" s="30"/>
      <c r="F19" s="37" t="str">
        <f aca="false">IF(A19="","",IF(G19&lt;&gt;"",G19,WORKDAY(A19,-2)))</f>
        <v/>
      </c>
      <c r="G19" s="31"/>
      <c r="H19" s="30"/>
      <c r="I19" s="30"/>
      <c r="J19" s="31"/>
      <c r="K19" s="30"/>
      <c r="L19" s="30"/>
      <c r="M19" s="30"/>
      <c r="N19" s="30"/>
      <c r="O19" s="30"/>
      <c r="P19" s="30"/>
      <c r="Q19" s="30"/>
      <c r="R19" s="30"/>
    </row>
    <row r="20" customFormat="false" ht="33.75" hidden="false" customHeight="true" outlineLevel="0" collapsed="false">
      <c r="A20" s="35"/>
      <c r="B20" s="43"/>
      <c r="C20" s="34"/>
      <c r="D20" s="34"/>
      <c r="E20" s="34"/>
      <c r="F20" s="37" t="str">
        <f aca="false">IF(A20="","",IF(G20&lt;&gt;"",G20,WORKDAY(A20,-2)))</f>
        <v/>
      </c>
      <c r="G20" s="35"/>
      <c r="H20" s="34"/>
      <c r="I20" s="34"/>
      <c r="J20" s="35"/>
      <c r="K20" s="34"/>
      <c r="L20" s="34"/>
      <c r="M20" s="34"/>
      <c r="N20" s="34"/>
      <c r="O20" s="34"/>
      <c r="P20" s="34"/>
      <c r="Q20" s="34"/>
      <c r="R20" s="34"/>
    </row>
    <row r="21" customFormat="false" ht="33.75" hidden="false" customHeight="true" outlineLevel="0" collapsed="false">
      <c r="A21" s="31"/>
      <c r="B21" s="42"/>
      <c r="C21" s="30"/>
      <c r="D21" s="30"/>
      <c r="E21" s="30"/>
      <c r="F21" s="37" t="str">
        <f aca="false">IF(A21="","",IF(G21&lt;&gt;"",G21,WORKDAY(A21,-2)))</f>
        <v/>
      </c>
      <c r="G21" s="31"/>
      <c r="H21" s="30"/>
      <c r="I21" s="30"/>
      <c r="J21" s="31"/>
      <c r="K21" s="30"/>
      <c r="L21" s="30"/>
      <c r="M21" s="30"/>
      <c r="N21" s="30"/>
      <c r="O21" s="30"/>
      <c r="P21" s="30"/>
      <c r="Q21" s="30"/>
      <c r="R21" s="30"/>
    </row>
    <row r="22" customFormat="false" ht="33.75" hidden="false" customHeight="true" outlineLevel="0" collapsed="false">
      <c r="A22" s="35"/>
      <c r="B22" s="43"/>
      <c r="C22" s="34"/>
      <c r="D22" s="34"/>
      <c r="E22" s="34"/>
      <c r="F22" s="37" t="str">
        <f aca="false">IF(A22="","",IF(G22&lt;&gt;"",G22,WORKDAY(A22,-2)))</f>
        <v/>
      </c>
      <c r="G22" s="35"/>
      <c r="H22" s="34"/>
      <c r="I22" s="34"/>
      <c r="J22" s="35"/>
      <c r="K22" s="34"/>
      <c r="L22" s="34"/>
      <c r="M22" s="34"/>
      <c r="N22" s="34"/>
      <c r="O22" s="34"/>
      <c r="P22" s="34"/>
      <c r="Q22" s="34"/>
      <c r="R22" s="34"/>
    </row>
    <row r="23" customFormat="false" ht="33.75" hidden="false" customHeight="true" outlineLevel="0" collapsed="false">
      <c r="A23" s="31"/>
      <c r="B23" s="42"/>
      <c r="C23" s="30"/>
      <c r="D23" s="30"/>
      <c r="E23" s="30"/>
      <c r="F23" s="37" t="str">
        <f aca="false">IF(A23="","",IF(G23&lt;&gt;"",G23,WORKDAY(A23,-2)))</f>
        <v/>
      </c>
      <c r="G23" s="31"/>
      <c r="H23" s="30"/>
      <c r="I23" s="30"/>
      <c r="J23" s="31"/>
      <c r="K23" s="30"/>
      <c r="L23" s="30"/>
      <c r="M23" s="30"/>
      <c r="N23" s="30"/>
      <c r="O23" s="30"/>
      <c r="P23" s="30"/>
      <c r="Q23" s="30"/>
      <c r="R23" s="30"/>
    </row>
    <row r="24" customFormat="false" ht="33.75" hidden="false" customHeight="true" outlineLevel="0" collapsed="false">
      <c r="A24" s="35"/>
      <c r="B24" s="43"/>
      <c r="C24" s="34"/>
      <c r="D24" s="34"/>
      <c r="E24" s="34"/>
      <c r="F24" s="37" t="str">
        <f aca="false">IF(A24="","",IF(G24&lt;&gt;"",G24,WORKDAY(A24,-2)))</f>
        <v/>
      </c>
      <c r="G24" s="35"/>
      <c r="H24" s="34"/>
      <c r="I24" s="34"/>
      <c r="J24" s="35"/>
      <c r="K24" s="34"/>
      <c r="L24" s="34"/>
      <c r="M24" s="34"/>
      <c r="N24" s="34"/>
      <c r="O24" s="34"/>
      <c r="P24" s="34"/>
      <c r="Q24" s="34"/>
      <c r="R24" s="34"/>
    </row>
    <row r="25" customFormat="false" ht="33.75" hidden="false" customHeight="true" outlineLevel="0" collapsed="false">
      <c r="A25" s="31"/>
      <c r="B25" s="42"/>
      <c r="C25" s="30"/>
      <c r="D25" s="30"/>
      <c r="E25" s="30"/>
      <c r="F25" s="37" t="str">
        <f aca="false">IF(A25="","",IF(G25&lt;&gt;"",G25,WORKDAY(A25,-2)))</f>
        <v/>
      </c>
      <c r="G25" s="31"/>
      <c r="H25" s="30"/>
      <c r="I25" s="30"/>
      <c r="J25" s="31"/>
      <c r="K25" s="30"/>
      <c r="L25" s="30"/>
      <c r="M25" s="30"/>
      <c r="N25" s="30"/>
      <c r="O25" s="30"/>
      <c r="P25" s="30"/>
      <c r="Q25" s="30"/>
      <c r="R25" s="30"/>
    </row>
    <row r="26" customFormat="false" ht="33.75" hidden="false" customHeight="true" outlineLevel="0" collapsed="false">
      <c r="A26" s="35"/>
      <c r="B26" s="43"/>
      <c r="C26" s="34"/>
      <c r="D26" s="34"/>
      <c r="E26" s="34"/>
      <c r="F26" s="37" t="str">
        <f aca="false">IF(A26="","",IF(G26&lt;&gt;"",G26,WORKDAY(A26,-2)))</f>
        <v/>
      </c>
      <c r="G26" s="35"/>
      <c r="H26" s="34"/>
      <c r="I26" s="34"/>
      <c r="J26" s="35"/>
      <c r="K26" s="34"/>
      <c r="L26" s="34"/>
      <c r="M26" s="34"/>
      <c r="N26" s="34"/>
      <c r="O26" s="34"/>
      <c r="P26" s="34"/>
      <c r="Q26" s="34"/>
      <c r="R26" s="34"/>
    </row>
    <row r="27" customFormat="false" ht="33.75" hidden="false" customHeight="true" outlineLevel="0" collapsed="false">
      <c r="A27" s="31"/>
      <c r="B27" s="42"/>
      <c r="C27" s="30"/>
      <c r="D27" s="30"/>
      <c r="E27" s="30"/>
      <c r="F27" s="37" t="str">
        <f aca="false">IF(A27="","",IF(G27&lt;&gt;"",G27,WORKDAY(A27,-2)))</f>
        <v/>
      </c>
      <c r="G27" s="31"/>
      <c r="H27" s="30"/>
      <c r="I27" s="30"/>
      <c r="J27" s="31"/>
      <c r="K27" s="30"/>
      <c r="L27" s="30"/>
      <c r="M27" s="30"/>
      <c r="N27" s="30"/>
      <c r="O27" s="30"/>
      <c r="P27" s="30"/>
      <c r="Q27" s="30"/>
      <c r="R27" s="30"/>
    </row>
    <row r="28" customFormat="false" ht="33.75" hidden="false" customHeight="true" outlineLevel="0" collapsed="false">
      <c r="A28" s="35"/>
      <c r="B28" s="43"/>
      <c r="C28" s="34"/>
      <c r="D28" s="34"/>
      <c r="E28" s="34"/>
      <c r="F28" s="37" t="str">
        <f aca="false">IF(A28="","",IF(G28&lt;&gt;"",G28,WORKDAY(A28,-2)))</f>
        <v/>
      </c>
      <c r="G28" s="35"/>
      <c r="H28" s="34"/>
      <c r="I28" s="34"/>
      <c r="J28" s="35"/>
      <c r="K28" s="34"/>
      <c r="L28" s="34"/>
      <c r="M28" s="34"/>
      <c r="N28" s="34"/>
      <c r="O28" s="34"/>
      <c r="P28" s="34"/>
      <c r="Q28" s="34"/>
      <c r="R28" s="34"/>
    </row>
    <row r="29" customFormat="false" ht="33.75" hidden="false" customHeight="true" outlineLevel="0" collapsed="false">
      <c r="A29" s="31"/>
      <c r="B29" s="42"/>
      <c r="C29" s="30"/>
      <c r="D29" s="30"/>
      <c r="E29" s="30"/>
      <c r="F29" s="37" t="str">
        <f aca="false">IF(A29="","",IF(G29&lt;&gt;"",G29,WORKDAY(A29,-2)))</f>
        <v/>
      </c>
      <c r="G29" s="31"/>
      <c r="H29" s="30"/>
      <c r="I29" s="30"/>
      <c r="J29" s="31"/>
      <c r="K29" s="30"/>
      <c r="L29" s="30"/>
      <c r="M29" s="30"/>
      <c r="N29" s="30"/>
      <c r="O29" s="30"/>
      <c r="P29" s="30"/>
      <c r="Q29" s="30"/>
      <c r="R29" s="30"/>
    </row>
    <row r="30" customFormat="false" ht="33.75" hidden="false" customHeight="true" outlineLevel="0" collapsed="false">
      <c r="A30" s="35"/>
      <c r="B30" s="43"/>
      <c r="C30" s="34"/>
      <c r="D30" s="34"/>
      <c r="E30" s="34"/>
      <c r="F30" s="37" t="str">
        <f aca="false">IF(A30="","",IF(G30&lt;&gt;"",G30,WORKDAY(A30,-2)))</f>
        <v/>
      </c>
      <c r="G30" s="35"/>
      <c r="H30" s="34"/>
      <c r="I30" s="34"/>
      <c r="J30" s="35"/>
      <c r="K30" s="34"/>
      <c r="L30" s="34"/>
      <c r="M30" s="34"/>
      <c r="N30" s="34"/>
      <c r="O30" s="34"/>
      <c r="P30" s="34"/>
      <c r="Q30" s="34"/>
      <c r="R30" s="34"/>
    </row>
    <row r="31" customFormat="false" ht="33.75" hidden="false" customHeight="true" outlineLevel="0" collapsed="false">
      <c r="A31" s="31"/>
      <c r="B31" s="42"/>
      <c r="C31" s="30"/>
      <c r="D31" s="30"/>
      <c r="E31" s="30"/>
      <c r="F31" s="37" t="str">
        <f aca="false">IF(A31="","",IF(G31&lt;&gt;"",G31,WORKDAY(A31,-2)))</f>
        <v/>
      </c>
      <c r="G31" s="31"/>
      <c r="H31" s="30"/>
      <c r="I31" s="30"/>
      <c r="J31" s="31"/>
      <c r="K31" s="30"/>
      <c r="L31" s="30"/>
      <c r="M31" s="30"/>
      <c r="N31" s="30"/>
      <c r="O31" s="30"/>
      <c r="P31" s="30"/>
      <c r="Q31" s="30"/>
      <c r="R31" s="30"/>
    </row>
    <row r="32" customFormat="false" ht="33.75" hidden="false" customHeight="true" outlineLevel="0" collapsed="false">
      <c r="A32" s="35"/>
      <c r="B32" s="43"/>
      <c r="C32" s="34"/>
      <c r="D32" s="34"/>
      <c r="E32" s="34"/>
      <c r="F32" s="37" t="str">
        <f aca="false">IF(A32="","",IF(G32&lt;&gt;"",G32,WORKDAY(A32,-2)))</f>
        <v/>
      </c>
      <c r="G32" s="35"/>
      <c r="H32" s="34"/>
      <c r="I32" s="34"/>
      <c r="J32" s="35"/>
      <c r="K32" s="34"/>
      <c r="L32" s="34"/>
      <c r="M32" s="34"/>
      <c r="N32" s="34"/>
      <c r="O32" s="34"/>
      <c r="P32" s="34"/>
      <c r="Q32" s="34"/>
      <c r="R32" s="34"/>
    </row>
    <row r="33" customFormat="false" ht="33.75" hidden="false" customHeight="true" outlineLevel="0" collapsed="false">
      <c r="A33" s="31"/>
      <c r="B33" s="42"/>
      <c r="C33" s="30"/>
      <c r="D33" s="30"/>
      <c r="E33" s="30"/>
      <c r="F33" s="37" t="str">
        <f aca="false">IF(A33="","",IF(G33&lt;&gt;"",G33,WORKDAY(A33,-2)))</f>
        <v/>
      </c>
      <c r="G33" s="31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</row>
    <row r="34" customFormat="false" ht="33.75" hidden="false" customHeight="true" outlineLevel="0" collapsed="false">
      <c r="A34" s="35"/>
      <c r="B34" s="43"/>
      <c r="C34" s="34"/>
      <c r="D34" s="34"/>
      <c r="E34" s="34"/>
      <c r="F34" s="37" t="str">
        <f aca="false">IF(A34="","",IF(G34&lt;&gt;"",G34,WORKDAY(A34,-2)))</f>
        <v/>
      </c>
      <c r="G34" s="35"/>
      <c r="H34" s="34"/>
      <c r="I34" s="34"/>
      <c r="J34" s="35"/>
      <c r="K34" s="34"/>
      <c r="L34" s="34"/>
      <c r="M34" s="34"/>
      <c r="N34" s="34"/>
      <c r="O34" s="34"/>
      <c r="P34" s="34"/>
      <c r="Q34" s="34"/>
      <c r="R34" s="34"/>
    </row>
    <row r="35" customFormat="false" ht="33.75" hidden="false" customHeight="true" outlineLevel="0" collapsed="false">
      <c r="A35" s="31"/>
      <c r="B35" s="42"/>
      <c r="C35" s="30"/>
      <c r="D35" s="30"/>
      <c r="E35" s="30"/>
      <c r="F35" s="37" t="str">
        <f aca="false">IF(A35="","",IF(G35&lt;&gt;"",G35,WORKDAY(A35,-2)))</f>
        <v/>
      </c>
      <c r="G35" s="31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</row>
    <row r="36" customFormat="false" ht="33.75" hidden="false" customHeight="true" outlineLevel="0" collapsed="false">
      <c r="A36" s="35"/>
      <c r="B36" s="43"/>
      <c r="C36" s="34"/>
      <c r="D36" s="34"/>
      <c r="E36" s="34"/>
      <c r="F36" s="37" t="str">
        <f aca="false">IF(A36="","",IF(G36&lt;&gt;"",G36,WORKDAY(A36,-2)))</f>
        <v/>
      </c>
      <c r="G36" s="35"/>
      <c r="H36" s="34"/>
      <c r="I36" s="34"/>
      <c r="J36" s="35"/>
      <c r="K36" s="34"/>
      <c r="L36" s="34"/>
      <c r="M36" s="34"/>
      <c r="N36" s="34"/>
      <c r="O36" s="34"/>
      <c r="P36" s="34"/>
      <c r="Q36" s="34"/>
      <c r="R36" s="34"/>
    </row>
    <row r="37" customFormat="false" ht="33.75" hidden="false" customHeight="true" outlineLevel="0" collapsed="false">
      <c r="A37" s="31"/>
      <c r="B37" s="42"/>
      <c r="C37" s="30"/>
      <c r="D37" s="30"/>
      <c r="E37" s="30"/>
      <c r="F37" s="37" t="str">
        <f aca="false">IF(A37="","",IF(G37&lt;&gt;"",G37,WORKDAY(A37,-2)))</f>
        <v/>
      </c>
      <c r="G37" s="31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</row>
    <row r="38" customFormat="false" ht="33.75" hidden="false" customHeight="true" outlineLevel="0" collapsed="false">
      <c r="A38" s="35"/>
      <c r="B38" s="43"/>
      <c r="C38" s="34"/>
      <c r="D38" s="34"/>
      <c r="E38" s="34"/>
      <c r="F38" s="37" t="str">
        <f aca="false">IF(A38="","",IF(G38&lt;&gt;"",G38,WORKDAY(A38,-2)))</f>
        <v/>
      </c>
      <c r="G38" s="35"/>
      <c r="H38" s="34"/>
      <c r="I38" s="34"/>
      <c r="J38" s="35"/>
      <c r="K38" s="34"/>
      <c r="L38" s="34"/>
      <c r="M38" s="34"/>
      <c r="N38" s="34"/>
      <c r="O38" s="34"/>
      <c r="P38" s="34"/>
      <c r="Q38" s="34"/>
      <c r="R38" s="34"/>
    </row>
    <row r="39" customFormat="false" ht="33.75" hidden="false" customHeight="true" outlineLevel="0" collapsed="false">
      <c r="A39" s="31"/>
      <c r="B39" s="42"/>
      <c r="C39" s="30"/>
      <c r="D39" s="30"/>
      <c r="E39" s="30"/>
      <c r="F39" s="37" t="str">
        <f aca="false">IF(A39="","",IF(G39&lt;&gt;"",G39,WORKDAY(A39,-2)))</f>
        <v/>
      </c>
      <c r="G39" s="31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</row>
    <row r="40" customFormat="false" ht="33.75" hidden="false" customHeight="true" outlineLevel="0" collapsed="false">
      <c r="A40" s="35"/>
      <c r="B40" s="43"/>
      <c r="C40" s="34"/>
      <c r="D40" s="34"/>
      <c r="E40" s="34"/>
      <c r="F40" s="37" t="str">
        <f aca="false">IF(A40="","",IF(G40&lt;&gt;"",G40,WORKDAY(A40,-2)))</f>
        <v/>
      </c>
      <c r="G40" s="35"/>
      <c r="H40" s="34"/>
      <c r="I40" s="34"/>
      <c r="J40" s="35"/>
      <c r="K40" s="34"/>
      <c r="L40" s="34"/>
      <c r="M40" s="34"/>
      <c r="N40" s="34"/>
      <c r="O40" s="34"/>
      <c r="P40" s="34"/>
      <c r="Q40" s="34"/>
      <c r="R40" s="34"/>
    </row>
    <row r="41" customFormat="false" ht="33.75" hidden="false" customHeight="true" outlineLevel="0" collapsed="false">
      <c r="A41" s="31"/>
      <c r="B41" s="42"/>
      <c r="C41" s="30"/>
      <c r="D41" s="30"/>
      <c r="E41" s="30"/>
      <c r="F41" s="37" t="str">
        <f aca="false">IF(A41="","",IF(G41&lt;&gt;"",G41,WORKDAY(A41,-2)))</f>
        <v/>
      </c>
      <c r="G41" s="31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</row>
    <row r="42" customFormat="false" ht="33.75" hidden="false" customHeight="true" outlineLevel="0" collapsed="false">
      <c r="A42" s="35"/>
      <c r="B42" s="43"/>
      <c r="C42" s="34"/>
      <c r="D42" s="34"/>
      <c r="E42" s="34"/>
      <c r="F42" s="37" t="str">
        <f aca="false">IF(A42="","",IF(G42&lt;&gt;"",G42,WORKDAY(A42,-2)))</f>
        <v/>
      </c>
      <c r="G42" s="35"/>
      <c r="H42" s="34"/>
      <c r="I42" s="34"/>
      <c r="J42" s="35"/>
      <c r="K42" s="34"/>
      <c r="L42" s="34"/>
      <c r="M42" s="34"/>
      <c r="N42" s="34"/>
      <c r="O42" s="34"/>
      <c r="P42" s="34"/>
      <c r="Q42" s="34"/>
      <c r="R42" s="34"/>
    </row>
    <row r="43" customFormat="false" ht="33.75" hidden="false" customHeight="true" outlineLevel="0" collapsed="false">
      <c r="A43" s="31"/>
      <c r="B43" s="42"/>
      <c r="C43" s="30"/>
      <c r="D43" s="30"/>
      <c r="E43" s="30"/>
      <c r="F43" s="37" t="str">
        <f aca="false">IF(A43="","",IF(G43&lt;&gt;"",G43,WORKDAY(A43,-2)))</f>
        <v/>
      </c>
      <c r="G43" s="31"/>
      <c r="H43" s="30"/>
      <c r="I43" s="30"/>
      <c r="J43" s="31"/>
      <c r="K43" s="30"/>
      <c r="L43" s="30"/>
      <c r="M43" s="30"/>
      <c r="N43" s="30"/>
      <c r="O43" s="30"/>
      <c r="P43" s="30"/>
      <c r="Q43" s="30"/>
      <c r="R43" s="30"/>
    </row>
    <row r="44" customFormat="false" ht="33.75" hidden="false" customHeight="true" outlineLevel="0" collapsed="false">
      <c r="A44" s="35"/>
      <c r="B44" s="43"/>
      <c r="C44" s="34"/>
      <c r="D44" s="34"/>
      <c r="E44" s="34"/>
      <c r="F44" s="37" t="str">
        <f aca="false">IF(A44="","",IF(G44&lt;&gt;"",G44,WORKDAY(A44,-2)))</f>
        <v/>
      </c>
      <c r="G44" s="35"/>
      <c r="H44" s="34"/>
      <c r="I44" s="34"/>
      <c r="J44" s="35"/>
      <c r="K44" s="34"/>
      <c r="L44" s="34"/>
      <c r="M44" s="34"/>
      <c r="N44" s="34"/>
      <c r="O44" s="34"/>
      <c r="P44" s="34"/>
      <c r="Q44" s="34"/>
      <c r="R44" s="34"/>
    </row>
    <row r="45" customFormat="false" ht="33.75" hidden="false" customHeight="true" outlineLevel="0" collapsed="false">
      <c r="A45" s="31"/>
      <c r="B45" s="42"/>
      <c r="C45" s="30"/>
      <c r="D45" s="30"/>
      <c r="E45" s="30"/>
      <c r="F45" s="37" t="str">
        <f aca="false">IF(A45="","",IF(G45&lt;&gt;"",G45,WORKDAY(A45,-2)))</f>
        <v/>
      </c>
      <c r="G45" s="31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</row>
    <row r="46" customFormat="false" ht="33.75" hidden="false" customHeight="true" outlineLevel="0" collapsed="false">
      <c r="A46" s="35"/>
      <c r="B46" s="43"/>
      <c r="C46" s="34"/>
      <c r="D46" s="34"/>
      <c r="E46" s="34"/>
      <c r="F46" s="37" t="str">
        <f aca="false">IF(A46="","",IF(G46&lt;&gt;"",G46,WORKDAY(A46,-2)))</f>
        <v/>
      </c>
      <c r="G46" s="35"/>
      <c r="H46" s="34"/>
      <c r="I46" s="34"/>
      <c r="J46" s="35"/>
      <c r="K46" s="34"/>
      <c r="L46" s="34"/>
      <c r="M46" s="34"/>
      <c r="N46" s="34"/>
      <c r="O46" s="34"/>
      <c r="P46" s="34"/>
      <c r="Q46" s="34"/>
      <c r="R46" s="34"/>
    </row>
    <row r="47" customFormat="false" ht="33.75" hidden="false" customHeight="true" outlineLevel="0" collapsed="false">
      <c r="A47" s="31"/>
      <c r="B47" s="42"/>
      <c r="C47" s="30"/>
      <c r="D47" s="30"/>
      <c r="E47" s="30"/>
      <c r="F47" s="37" t="str">
        <f aca="false">IF(A47="","",IF(G47&lt;&gt;"",G47,WORKDAY(A47,-2)))</f>
        <v/>
      </c>
      <c r="G47" s="31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</row>
    <row r="48" customFormat="false" ht="33.75" hidden="false" customHeight="true" outlineLevel="0" collapsed="false">
      <c r="A48" s="35"/>
      <c r="B48" s="43"/>
      <c r="C48" s="34"/>
      <c r="D48" s="34"/>
      <c r="E48" s="34"/>
      <c r="F48" s="37" t="str">
        <f aca="false">IF(A48="","",IF(G48&lt;&gt;"",G48,WORKDAY(A48,-2)))</f>
        <v/>
      </c>
      <c r="G48" s="35"/>
      <c r="H48" s="34"/>
      <c r="I48" s="34"/>
      <c r="J48" s="35"/>
      <c r="K48" s="34"/>
      <c r="L48" s="34"/>
      <c r="M48" s="34"/>
      <c r="N48" s="34"/>
      <c r="O48" s="34"/>
      <c r="P48" s="34"/>
      <c r="Q48" s="34"/>
      <c r="R48" s="34"/>
    </row>
    <row r="49" customFormat="false" ht="33.75" hidden="false" customHeight="true" outlineLevel="0" collapsed="false">
      <c r="A49" s="31"/>
      <c r="B49" s="42"/>
      <c r="C49" s="30"/>
      <c r="D49" s="30"/>
      <c r="E49" s="30"/>
      <c r="F49" s="37" t="str">
        <f aca="false">IF(A49="","",IF(G49&lt;&gt;"",G49,WORKDAY(A49,-2)))</f>
        <v/>
      </c>
      <c r="G49" s="31"/>
      <c r="H49" s="30"/>
      <c r="I49" s="30"/>
      <c r="J49" s="31"/>
      <c r="K49" s="30"/>
      <c r="L49" s="30"/>
      <c r="M49" s="30"/>
      <c r="N49" s="30"/>
      <c r="O49" s="30"/>
      <c r="P49" s="30"/>
      <c r="Q49" s="30"/>
      <c r="R49" s="30"/>
    </row>
    <row r="50" customFormat="false" ht="33.75" hidden="false" customHeight="true" outlineLevel="0" collapsed="false">
      <c r="A50" s="35"/>
      <c r="B50" s="43"/>
      <c r="C50" s="34"/>
      <c r="D50" s="34"/>
      <c r="E50" s="34"/>
      <c r="F50" s="37" t="str">
        <f aca="false">IF(A50="","",IF(G50&lt;&gt;"",G50,WORKDAY(A50,-2)))</f>
        <v/>
      </c>
      <c r="G50" s="35"/>
      <c r="H50" s="34"/>
      <c r="I50" s="34"/>
      <c r="J50" s="35"/>
      <c r="K50" s="34"/>
      <c r="L50" s="34"/>
      <c r="M50" s="34"/>
      <c r="N50" s="34"/>
      <c r="O50" s="34"/>
      <c r="P50" s="34"/>
      <c r="Q50" s="34"/>
      <c r="R50" s="34"/>
    </row>
    <row r="51" customFormat="false" ht="33.75" hidden="false" customHeight="true" outlineLevel="0" collapsed="false">
      <c r="A51" s="31"/>
      <c r="B51" s="42"/>
      <c r="C51" s="30"/>
      <c r="D51" s="30"/>
      <c r="E51" s="30"/>
      <c r="F51" s="37" t="str">
        <f aca="false">IF(A51="","",IF(G51&lt;&gt;"",G51,WORKDAY(A51,-2)))</f>
        <v/>
      </c>
      <c r="G51" s="31"/>
      <c r="H51" s="30"/>
      <c r="I51" s="30"/>
      <c r="J51" s="31"/>
      <c r="K51" s="30"/>
      <c r="L51" s="30"/>
      <c r="M51" s="30"/>
      <c r="N51" s="30"/>
      <c r="O51" s="30"/>
      <c r="P51" s="30"/>
      <c r="Q51" s="30"/>
      <c r="R51" s="30"/>
    </row>
    <row r="52" customFormat="false" ht="33.75" hidden="false" customHeight="true" outlineLevel="0" collapsed="false">
      <c r="A52" s="35"/>
      <c r="B52" s="43"/>
      <c r="C52" s="34"/>
      <c r="D52" s="34"/>
      <c r="E52" s="34"/>
      <c r="F52" s="37" t="str">
        <f aca="false">IF(A52="","",IF(G52&lt;&gt;"",G52,WORKDAY(A52,-2)))</f>
        <v/>
      </c>
      <c r="G52" s="35"/>
      <c r="H52" s="34"/>
      <c r="I52" s="34"/>
      <c r="J52" s="35"/>
      <c r="K52" s="34"/>
      <c r="L52" s="34"/>
      <c r="M52" s="34"/>
      <c r="N52" s="34"/>
      <c r="O52" s="34"/>
      <c r="P52" s="34"/>
      <c r="Q52" s="34"/>
      <c r="R52" s="34"/>
    </row>
    <row r="53" customFormat="false" ht="33.75" hidden="false" customHeight="true" outlineLevel="0" collapsed="false">
      <c r="A53" s="31"/>
      <c r="B53" s="42"/>
      <c r="C53" s="30"/>
      <c r="D53" s="30"/>
      <c r="E53" s="30"/>
      <c r="F53" s="37" t="str">
        <f aca="false">IF(A53="","",IF(G53&lt;&gt;"",G53,WORKDAY(A53,-2)))</f>
        <v/>
      </c>
      <c r="G53" s="31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</row>
    <row r="54" customFormat="false" ht="33.75" hidden="false" customHeight="true" outlineLevel="0" collapsed="false">
      <c r="A54" s="35"/>
      <c r="B54" s="43"/>
      <c r="C54" s="34"/>
      <c r="D54" s="34"/>
      <c r="E54" s="34"/>
      <c r="F54" s="37" t="str">
        <f aca="false">IF(A54="","",IF(G54&lt;&gt;"",G54,WORKDAY(A54,-2)))</f>
        <v/>
      </c>
      <c r="G54" s="35"/>
      <c r="H54" s="34"/>
      <c r="I54" s="34"/>
      <c r="J54" s="35"/>
      <c r="K54" s="34"/>
      <c r="L54" s="34"/>
      <c r="M54" s="34"/>
      <c r="N54" s="34"/>
      <c r="O54" s="34"/>
      <c r="P54" s="34"/>
      <c r="Q54" s="34"/>
      <c r="R54" s="34"/>
    </row>
    <row r="55" customFormat="false" ht="33.75" hidden="false" customHeight="true" outlineLevel="0" collapsed="false">
      <c r="A55" s="31"/>
      <c r="B55" s="42"/>
      <c r="C55" s="30"/>
      <c r="D55" s="30"/>
      <c r="E55" s="30"/>
      <c r="F55" s="37" t="str">
        <f aca="false">IF(A55="","",IF(G55&lt;&gt;"",G55,WORKDAY(A55,-2)))</f>
        <v/>
      </c>
      <c r="G55" s="31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</row>
    <row r="56" customFormat="false" ht="33.75" hidden="false" customHeight="true" outlineLevel="0" collapsed="false">
      <c r="A56" s="35"/>
      <c r="B56" s="43"/>
      <c r="C56" s="34"/>
      <c r="D56" s="34"/>
      <c r="E56" s="34"/>
      <c r="F56" s="37" t="str">
        <f aca="false">IF(A56="","",IF(G56&lt;&gt;"",G56,WORKDAY(A56,-2)))</f>
        <v/>
      </c>
      <c r="G56" s="35"/>
      <c r="H56" s="34"/>
      <c r="I56" s="34"/>
      <c r="J56" s="35"/>
      <c r="K56" s="34"/>
      <c r="L56" s="34"/>
      <c r="M56" s="34"/>
      <c r="N56" s="34"/>
      <c r="O56" s="34"/>
      <c r="P56" s="34"/>
      <c r="Q56" s="34"/>
      <c r="R56" s="34"/>
    </row>
    <row r="57" customFormat="false" ht="33.75" hidden="false" customHeight="true" outlineLevel="0" collapsed="false">
      <c r="A57" s="31"/>
      <c r="B57" s="42"/>
      <c r="C57" s="30"/>
      <c r="D57" s="30"/>
      <c r="E57" s="30"/>
      <c r="F57" s="37" t="str">
        <f aca="false">IF(A57="","",IF(G57&lt;&gt;"",G57,WORKDAY(A57,-2)))</f>
        <v/>
      </c>
      <c r="G57" s="31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</row>
    <row r="58" customFormat="false" ht="33.75" hidden="false" customHeight="true" outlineLevel="0" collapsed="false">
      <c r="A58" s="35"/>
      <c r="B58" s="43"/>
      <c r="C58" s="34"/>
      <c r="D58" s="34"/>
      <c r="E58" s="34"/>
      <c r="F58" s="37" t="str">
        <f aca="false">IF(A58="","",IF(G58&lt;&gt;"",G58,WORKDAY(A58,-2)))</f>
        <v/>
      </c>
      <c r="G58" s="35"/>
      <c r="H58" s="34"/>
      <c r="I58" s="34"/>
      <c r="J58" s="35"/>
      <c r="K58" s="34"/>
      <c r="L58" s="34"/>
      <c r="M58" s="34"/>
      <c r="N58" s="34"/>
      <c r="O58" s="34"/>
      <c r="P58" s="34"/>
      <c r="Q58" s="34"/>
      <c r="R58" s="34"/>
    </row>
    <row r="59" customFormat="false" ht="33.75" hidden="false" customHeight="true" outlineLevel="0" collapsed="false">
      <c r="A59" s="31"/>
      <c r="B59" s="42"/>
      <c r="C59" s="30"/>
      <c r="D59" s="30"/>
      <c r="E59" s="30"/>
      <c r="F59" s="37" t="str">
        <f aca="false">IF(A59="","",IF(G59&lt;&gt;"",G59,WORKDAY(A59,-2)))</f>
        <v/>
      </c>
      <c r="G59" s="31"/>
      <c r="H59" s="30"/>
      <c r="I59" s="30"/>
      <c r="J59" s="31"/>
      <c r="K59" s="30"/>
      <c r="L59" s="30"/>
      <c r="M59" s="30"/>
      <c r="N59" s="30"/>
      <c r="O59" s="30"/>
      <c r="P59" s="30"/>
      <c r="Q59" s="30"/>
      <c r="R59" s="30"/>
    </row>
    <row r="60" customFormat="false" ht="33.75" hidden="false" customHeight="true" outlineLevel="0" collapsed="false">
      <c r="A60" s="35"/>
      <c r="B60" s="43"/>
      <c r="C60" s="34"/>
      <c r="D60" s="34"/>
      <c r="E60" s="34"/>
      <c r="F60" s="37" t="str">
        <f aca="false">IF(A60="","",IF(G60&lt;&gt;"",G60,WORKDAY(A60,-2)))</f>
        <v/>
      </c>
      <c r="G60" s="35"/>
      <c r="H60" s="34"/>
      <c r="I60" s="34"/>
      <c r="J60" s="35"/>
      <c r="K60" s="34"/>
      <c r="L60" s="34"/>
      <c r="M60" s="34"/>
      <c r="N60" s="34"/>
      <c r="O60" s="34"/>
      <c r="P60" s="34"/>
      <c r="Q60" s="34"/>
      <c r="R60" s="34"/>
    </row>
    <row r="61" customFormat="false" ht="33.75" hidden="false" customHeight="true" outlineLevel="0" collapsed="false">
      <c r="A61" s="31"/>
      <c r="B61" s="42"/>
      <c r="C61" s="30"/>
      <c r="D61" s="30"/>
      <c r="E61" s="30"/>
      <c r="F61" s="37" t="str">
        <f aca="false">IF(A61="","",IF(G61&lt;&gt;"",G61,WORKDAY(A61,-2)))</f>
        <v/>
      </c>
      <c r="G61" s="31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</row>
    <row r="62" customFormat="false" ht="33.75" hidden="false" customHeight="true" outlineLevel="0" collapsed="false">
      <c r="A62" s="35"/>
      <c r="B62" s="43"/>
      <c r="C62" s="34"/>
      <c r="D62" s="34"/>
      <c r="E62" s="34"/>
      <c r="F62" s="37" t="str">
        <f aca="false">IF(A62="","",IF(G62&lt;&gt;"",G62,WORKDAY(A62,-2)))</f>
        <v/>
      </c>
      <c r="G62" s="35"/>
      <c r="H62" s="34"/>
      <c r="I62" s="34"/>
      <c r="J62" s="35"/>
      <c r="K62" s="34"/>
      <c r="L62" s="34"/>
      <c r="M62" s="34"/>
      <c r="N62" s="34"/>
      <c r="O62" s="34"/>
      <c r="P62" s="34"/>
      <c r="Q62" s="34"/>
      <c r="R62" s="34"/>
    </row>
    <row r="63" customFormat="false" ht="33.75" hidden="false" customHeight="true" outlineLevel="0" collapsed="false">
      <c r="A63" s="31"/>
      <c r="B63" s="42"/>
      <c r="C63" s="30"/>
      <c r="D63" s="30"/>
      <c r="E63" s="30"/>
      <c r="F63" s="37" t="str">
        <f aca="false">IF(A63="","",IF(G63&lt;&gt;"",G63,WORKDAY(A63,-2)))</f>
        <v/>
      </c>
      <c r="G63" s="31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</row>
    <row r="64" customFormat="false" ht="33.75" hidden="false" customHeight="true" outlineLevel="0" collapsed="false">
      <c r="A64" s="35"/>
      <c r="B64" s="43"/>
      <c r="C64" s="34"/>
      <c r="D64" s="34"/>
      <c r="E64" s="34"/>
      <c r="F64" s="37" t="str">
        <f aca="false">IF(A64="","",IF(G64&lt;&gt;"",G64,WORKDAY(A64,-2)))</f>
        <v/>
      </c>
      <c r="G64" s="35"/>
      <c r="H64" s="34"/>
      <c r="I64" s="34"/>
      <c r="J64" s="35"/>
      <c r="K64" s="34"/>
      <c r="L64" s="34"/>
      <c r="M64" s="34"/>
      <c r="N64" s="34"/>
      <c r="O64" s="34"/>
      <c r="P64" s="34"/>
      <c r="Q64" s="34"/>
      <c r="R64" s="34"/>
    </row>
    <row r="65" customFormat="false" ht="33.75" hidden="false" customHeight="true" outlineLevel="0" collapsed="false">
      <c r="A65" s="31"/>
      <c r="B65" s="42"/>
      <c r="C65" s="30"/>
      <c r="D65" s="30"/>
      <c r="E65" s="30"/>
      <c r="F65" s="37" t="str">
        <f aca="false">IF(A65="","",IF(G65&lt;&gt;"",G65,WORKDAY(A65,-2)))</f>
        <v/>
      </c>
      <c r="G65" s="31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</row>
    <row r="66" customFormat="false" ht="33.75" hidden="false" customHeight="true" outlineLevel="0" collapsed="false">
      <c r="A66" s="35"/>
      <c r="B66" s="43"/>
      <c r="C66" s="34"/>
      <c r="D66" s="34"/>
      <c r="E66" s="34"/>
      <c r="F66" s="37" t="str">
        <f aca="false">IF(A66="","",IF(G66&lt;&gt;"",G66,WORKDAY(A66,-2)))</f>
        <v/>
      </c>
      <c r="G66" s="35"/>
      <c r="H66" s="34"/>
      <c r="I66" s="34"/>
      <c r="J66" s="35"/>
      <c r="K66" s="34"/>
      <c r="L66" s="34"/>
      <c r="M66" s="34"/>
      <c r="N66" s="34"/>
      <c r="O66" s="34"/>
      <c r="P66" s="34"/>
      <c r="Q66" s="34"/>
      <c r="R66" s="34"/>
    </row>
    <row r="67" customFormat="false" ht="33.75" hidden="false" customHeight="true" outlineLevel="0" collapsed="false">
      <c r="A67" s="31"/>
      <c r="B67" s="42"/>
      <c r="C67" s="30"/>
      <c r="D67" s="30"/>
      <c r="E67" s="30"/>
      <c r="F67" s="37" t="str">
        <f aca="false">IF(A67="","",IF(G67&lt;&gt;"",G67,WORKDAY(A67,-2)))</f>
        <v/>
      </c>
      <c r="G67" s="31"/>
      <c r="H67" s="30"/>
      <c r="I67" s="30"/>
      <c r="J67" s="31"/>
      <c r="K67" s="30"/>
      <c r="L67" s="30"/>
      <c r="M67" s="30"/>
      <c r="N67" s="30"/>
      <c r="O67" s="30"/>
      <c r="P67" s="30"/>
      <c r="Q67" s="30"/>
      <c r="R67" s="30"/>
    </row>
    <row r="68" customFormat="false" ht="33.75" hidden="false" customHeight="true" outlineLevel="0" collapsed="false">
      <c r="A68" s="35"/>
      <c r="B68" s="43"/>
      <c r="C68" s="34"/>
      <c r="D68" s="34"/>
      <c r="E68" s="34"/>
      <c r="F68" s="37" t="str">
        <f aca="false">IF(A68="","",IF(G68&lt;&gt;"",G68,WORKDAY(A68,-2)))</f>
        <v/>
      </c>
      <c r="G68" s="35"/>
      <c r="H68" s="34"/>
      <c r="I68" s="34"/>
      <c r="J68" s="35"/>
      <c r="K68" s="34"/>
      <c r="L68" s="34"/>
      <c r="M68" s="34"/>
      <c r="N68" s="34"/>
      <c r="O68" s="34"/>
      <c r="P68" s="34"/>
      <c r="Q68" s="34"/>
      <c r="R68" s="34"/>
    </row>
    <row r="69" customFormat="false" ht="33.75" hidden="false" customHeight="true" outlineLevel="0" collapsed="false">
      <c r="A69" s="31"/>
      <c r="B69" s="42"/>
      <c r="C69" s="30"/>
      <c r="D69" s="30"/>
      <c r="E69" s="30"/>
      <c r="F69" s="37" t="str">
        <f aca="false">IF(A69="","",IF(G69&lt;&gt;"",G69,WORKDAY(A69,-2)))</f>
        <v/>
      </c>
      <c r="G69" s="31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</row>
    <row r="70" customFormat="false" ht="33.75" hidden="false" customHeight="true" outlineLevel="0" collapsed="false">
      <c r="A70" s="35"/>
      <c r="B70" s="43"/>
      <c r="C70" s="34"/>
      <c r="D70" s="34"/>
      <c r="E70" s="34"/>
      <c r="F70" s="37" t="str">
        <f aca="false">IF(A70="","",IF(G70&lt;&gt;"",G70,WORKDAY(A70,-2)))</f>
        <v/>
      </c>
      <c r="G70" s="35"/>
      <c r="H70" s="34"/>
      <c r="I70" s="34"/>
      <c r="J70" s="35"/>
      <c r="K70" s="34"/>
      <c r="L70" s="34"/>
      <c r="M70" s="34"/>
      <c r="N70" s="34"/>
      <c r="O70" s="34"/>
      <c r="P70" s="34"/>
      <c r="Q70" s="34"/>
      <c r="R70" s="34"/>
    </row>
    <row r="71" customFormat="false" ht="33.75" hidden="false" customHeight="true" outlineLevel="0" collapsed="false">
      <c r="A71" s="31"/>
      <c r="B71" s="42"/>
      <c r="C71" s="30"/>
      <c r="D71" s="30"/>
      <c r="E71" s="30"/>
      <c r="F71" s="37" t="str">
        <f aca="false">IF(A71="","",IF(G71&lt;&gt;"",G71,WORKDAY(A71,-2)))</f>
        <v/>
      </c>
      <c r="G71" s="31"/>
      <c r="H71" s="30"/>
      <c r="I71" s="30"/>
      <c r="J71" s="31"/>
      <c r="K71" s="30"/>
      <c r="L71" s="30"/>
      <c r="M71" s="30"/>
      <c r="N71" s="30"/>
      <c r="O71" s="30"/>
      <c r="P71" s="30"/>
      <c r="Q71" s="30"/>
      <c r="R71" s="30"/>
    </row>
    <row r="72" customFormat="false" ht="33.75" hidden="false" customHeight="true" outlineLevel="0" collapsed="false">
      <c r="A72" s="35"/>
      <c r="B72" s="43"/>
      <c r="C72" s="34"/>
      <c r="D72" s="34"/>
      <c r="E72" s="34"/>
      <c r="F72" s="37" t="str">
        <f aca="false">IF(A72="","",IF(G72&lt;&gt;"",G72,WORKDAY(A72,-2)))</f>
        <v/>
      </c>
      <c r="G72" s="35"/>
      <c r="H72" s="34"/>
      <c r="I72" s="34"/>
      <c r="J72" s="35"/>
      <c r="K72" s="34"/>
      <c r="L72" s="34"/>
      <c r="M72" s="34"/>
      <c r="N72" s="34"/>
      <c r="O72" s="34"/>
      <c r="P72" s="34"/>
      <c r="Q72" s="34"/>
      <c r="R72" s="34"/>
    </row>
    <row r="73" customFormat="false" ht="33.75" hidden="false" customHeight="true" outlineLevel="0" collapsed="false">
      <c r="A73" s="31"/>
      <c r="B73" s="42"/>
      <c r="C73" s="30"/>
      <c r="D73" s="30"/>
      <c r="E73" s="30"/>
      <c r="F73" s="37" t="str">
        <f aca="false">IF(A73="","",IF(G73&lt;&gt;"",G73,WORKDAY(A73,-2)))</f>
        <v/>
      </c>
      <c r="G73" s="31"/>
      <c r="H73" s="30"/>
      <c r="I73" s="30"/>
      <c r="J73" s="31"/>
      <c r="K73" s="30"/>
      <c r="L73" s="30"/>
      <c r="M73" s="30"/>
      <c r="N73" s="30"/>
      <c r="O73" s="30"/>
      <c r="P73" s="30"/>
      <c r="Q73" s="30"/>
      <c r="R73" s="30"/>
    </row>
    <row r="74" customFormat="false" ht="33.75" hidden="false" customHeight="true" outlineLevel="0" collapsed="false">
      <c r="A74" s="35"/>
      <c r="B74" s="43"/>
      <c r="C74" s="34"/>
      <c r="D74" s="34"/>
      <c r="E74" s="34"/>
      <c r="F74" s="37" t="str">
        <f aca="false">IF(A74="","",IF(G74&lt;&gt;"",G74,WORKDAY(A74,-2)))</f>
        <v/>
      </c>
      <c r="G74" s="35"/>
      <c r="H74" s="34"/>
      <c r="I74" s="34"/>
      <c r="J74" s="35"/>
      <c r="K74" s="34"/>
      <c r="L74" s="34"/>
      <c r="M74" s="34"/>
      <c r="N74" s="34"/>
      <c r="O74" s="34"/>
      <c r="P74" s="34"/>
      <c r="Q74" s="34"/>
      <c r="R74" s="34"/>
    </row>
    <row r="75" customFormat="false" ht="33.75" hidden="false" customHeight="true" outlineLevel="0" collapsed="false">
      <c r="A75" s="31"/>
      <c r="B75" s="42"/>
      <c r="C75" s="30"/>
      <c r="D75" s="30"/>
      <c r="E75" s="30"/>
      <c r="F75" s="37" t="str">
        <f aca="false">IF(A75="","",IF(G75&lt;&gt;"",G75,WORKDAY(A75,-2)))</f>
        <v/>
      </c>
      <c r="G75" s="31"/>
      <c r="H75" s="30"/>
      <c r="I75" s="30"/>
      <c r="J75" s="31"/>
      <c r="K75" s="30"/>
      <c r="L75" s="30"/>
      <c r="M75" s="30"/>
      <c r="N75" s="30"/>
      <c r="O75" s="30"/>
      <c r="P75" s="30"/>
      <c r="Q75" s="30"/>
      <c r="R75" s="30"/>
    </row>
    <row r="76" customFormat="false" ht="33.75" hidden="false" customHeight="true" outlineLevel="0" collapsed="false">
      <c r="A76" s="35"/>
      <c r="B76" s="43"/>
      <c r="C76" s="34"/>
      <c r="D76" s="34"/>
      <c r="E76" s="34"/>
      <c r="F76" s="37" t="str">
        <f aca="false">IF(A76="","",IF(G76&lt;&gt;"",G76,WORKDAY(A76,-2)))</f>
        <v/>
      </c>
      <c r="G76" s="35"/>
      <c r="H76" s="34"/>
      <c r="I76" s="34"/>
      <c r="J76" s="35"/>
      <c r="K76" s="34"/>
      <c r="L76" s="34"/>
      <c r="M76" s="34"/>
      <c r="N76" s="34"/>
      <c r="O76" s="34"/>
      <c r="P76" s="34"/>
      <c r="Q76" s="34"/>
      <c r="R76" s="34"/>
    </row>
    <row r="77" customFormat="false" ht="33.75" hidden="false" customHeight="true" outlineLevel="0" collapsed="false">
      <c r="A77" s="31"/>
      <c r="B77" s="42"/>
      <c r="C77" s="30"/>
      <c r="D77" s="30"/>
      <c r="E77" s="30"/>
      <c r="F77" s="37" t="str">
        <f aca="false">IF(A77="","",IF(G77&lt;&gt;"",G77,WORKDAY(A77,-2)))</f>
        <v/>
      </c>
      <c r="G77" s="31"/>
      <c r="H77" s="30"/>
      <c r="I77" s="30"/>
      <c r="J77" s="31"/>
      <c r="K77" s="30"/>
      <c r="L77" s="30"/>
      <c r="M77" s="30"/>
      <c r="N77" s="30"/>
      <c r="O77" s="30"/>
      <c r="P77" s="30"/>
      <c r="Q77" s="30"/>
      <c r="R77" s="30"/>
    </row>
    <row r="78" customFormat="false" ht="33.75" hidden="false" customHeight="true" outlineLevel="0" collapsed="false">
      <c r="A78" s="35"/>
      <c r="B78" s="43"/>
      <c r="C78" s="34"/>
      <c r="D78" s="34"/>
      <c r="E78" s="34"/>
      <c r="F78" s="37" t="str">
        <f aca="false">IF(A78="","",IF(G78&lt;&gt;"",G78,WORKDAY(A78,-2)))</f>
        <v/>
      </c>
      <c r="G78" s="35"/>
      <c r="H78" s="34"/>
      <c r="I78" s="34"/>
      <c r="J78" s="35"/>
      <c r="K78" s="34"/>
      <c r="L78" s="34"/>
      <c r="M78" s="34"/>
      <c r="N78" s="34"/>
      <c r="O78" s="34"/>
      <c r="P78" s="34"/>
      <c r="Q78" s="34"/>
      <c r="R78" s="34"/>
    </row>
    <row r="79" customFormat="false" ht="33.75" hidden="false" customHeight="true" outlineLevel="0" collapsed="false">
      <c r="A79" s="31"/>
      <c r="B79" s="42"/>
      <c r="C79" s="30"/>
      <c r="D79" s="30"/>
      <c r="E79" s="30"/>
      <c r="F79" s="37" t="str">
        <f aca="false">IF(A79="","",IF(G79&lt;&gt;"",G79,WORKDAY(A79,-2)))</f>
        <v/>
      </c>
      <c r="G79" s="31"/>
      <c r="H79" s="30"/>
      <c r="I79" s="30"/>
      <c r="J79" s="31"/>
      <c r="K79" s="30"/>
      <c r="L79" s="30"/>
      <c r="M79" s="30"/>
      <c r="N79" s="30"/>
      <c r="O79" s="30"/>
      <c r="P79" s="30"/>
      <c r="Q79" s="30"/>
      <c r="R79" s="30"/>
    </row>
    <row r="80" customFormat="false" ht="33.75" hidden="false" customHeight="true" outlineLevel="0" collapsed="false">
      <c r="A80" s="35"/>
      <c r="B80" s="43"/>
      <c r="C80" s="34"/>
      <c r="D80" s="34"/>
      <c r="E80" s="34"/>
      <c r="F80" s="37" t="str">
        <f aca="false">IF(A80="","",IF(G80&lt;&gt;"",G80,WORKDAY(A80,-2)))</f>
        <v/>
      </c>
      <c r="G80" s="35"/>
      <c r="H80" s="34"/>
      <c r="I80" s="34"/>
      <c r="J80" s="35"/>
      <c r="K80" s="34"/>
      <c r="L80" s="34"/>
      <c r="M80" s="34"/>
      <c r="N80" s="34"/>
      <c r="O80" s="34"/>
      <c r="P80" s="34"/>
      <c r="Q80" s="34"/>
      <c r="R80" s="34"/>
    </row>
    <row r="81" customFormat="false" ht="33.75" hidden="false" customHeight="true" outlineLevel="0" collapsed="false">
      <c r="A81" s="31"/>
      <c r="B81" s="42"/>
      <c r="C81" s="30"/>
      <c r="D81" s="30"/>
      <c r="E81" s="30"/>
      <c r="F81" s="37" t="str">
        <f aca="false">IF(A81="","",IF(G81&lt;&gt;"",G81,WORKDAY(A81,-2)))</f>
        <v/>
      </c>
      <c r="G81" s="31"/>
      <c r="H81" s="30"/>
      <c r="I81" s="30"/>
      <c r="J81" s="31"/>
      <c r="K81" s="30"/>
      <c r="L81" s="30"/>
      <c r="M81" s="30"/>
      <c r="N81" s="30"/>
      <c r="O81" s="30"/>
      <c r="P81" s="30"/>
      <c r="Q81" s="30"/>
      <c r="R81" s="30"/>
    </row>
    <row r="82" customFormat="false" ht="33.75" hidden="false" customHeight="true" outlineLevel="0" collapsed="false">
      <c r="A82" s="35"/>
      <c r="B82" s="43"/>
      <c r="C82" s="34"/>
      <c r="D82" s="34"/>
      <c r="E82" s="34"/>
      <c r="F82" s="37" t="str">
        <f aca="false">IF(A82="","",IF(G82&lt;&gt;"",G82,WORKDAY(A82,-2)))</f>
        <v/>
      </c>
      <c r="G82" s="35"/>
      <c r="H82" s="34"/>
      <c r="I82" s="34"/>
      <c r="J82" s="35"/>
      <c r="K82" s="34"/>
      <c r="L82" s="34"/>
      <c r="M82" s="34"/>
      <c r="N82" s="34"/>
      <c r="O82" s="34"/>
      <c r="P82" s="34"/>
      <c r="Q82" s="34"/>
      <c r="R82" s="34"/>
    </row>
    <row r="83" customFormat="false" ht="33.75" hidden="false" customHeight="true" outlineLevel="0" collapsed="false">
      <c r="A83" s="31"/>
      <c r="B83" s="42"/>
      <c r="C83" s="30"/>
      <c r="D83" s="30"/>
      <c r="E83" s="30"/>
      <c r="F83" s="37" t="str">
        <f aca="false">IF(A83="","",IF(G83&lt;&gt;"",G83,WORKDAY(A83,-2)))</f>
        <v/>
      </c>
      <c r="G83" s="31"/>
      <c r="H83" s="30"/>
      <c r="I83" s="30"/>
      <c r="J83" s="31"/>
      <c r="K83" s="30"/>
      <c r="L83" s="30"/>
      <c r="M83" s="30"/>
      <c r="N83" s="30"/>
      <c r="O83" s="30"/>
      <c r="P83" s="30"/>
      <c r="Q83" s="30"/>
      <c r="R83" s="30"/>
    </row>
    <row r="84" customFormat="false" ht="33.75" hidden="false" customHeight="true" outlineLevel="0" collapsed="false">
      <c r="A84" s="35"/>
      <c r="B84" s="43"/>
      <c r="C84" s="34"/>
      <c r="D84" s="34"/>
      <c r="E84" s="34"/>
      <c r="F84" s="37" t="str">
        <f aca="false">IF(A84="","",IF(G84&lt;&gt;"",G84,WORKDAY(A84,-2)))</f>
        <v/>
      </c>
      <c r="G84" s="35"/>
      <c r="H84" s="34"/>
      <c r="I84" s="34"/>
      <c r="J84" s="35"/>
      <c r="K84" s="34"/>
      <c r="L84" s="34"/>
      <c r="M84" s="34"/>
      <c r="N84" s="34"/>
      <c r="O84" s="34"/>
      <c r="P84" s="34"/>
      <c r="Q84" s="34"/>
      <c r="R84" s="34"/>
    </row>
    <row r="85" customFormat="false" ht="33.75" hidden="false" customHeight="true" outlineLevel="0" collapsed="false">
      <c r="A85" s="31"/>
      <c r="B85" s="42"/>
      <c r="C85" s="30"/>
      <c r="D85" s="30"/>
      <c r="E85" s="30"/>
      <c r="F85" s="37" t="str">
        <f aca="false">IF(A85="","",IF(G85&lt;&gt;"",G85,WORKDAY(A85,-2)))</f>
        <v/>
      </c>
      <c r="G85" s="31"/>
      <c r="H85" s="30"/>
      <c r="I85" s="30"/>
      <c r="J85" s="31"/>
      <c r="K85" s="30"/>
      <c r="L85" s="30"/>
      <c r="M85" s="30"/>
      <c r="N85" s="30"/>
      <c r="O85" s="30"/>
      <c r="P85" s="30"/>
      <c r="Q85" s="30"/>
      <c r="R85" s="30"/>
    </row>
    <row r="86" customFormat="false" ht="33.75" hidden="false" customHeight="true" outlineLevel="0" collapsed="false">
      <c r="A86" s="35"/>
      <c r="B86" s="43"/>
      <c r="C86" s="34"/>
      <c r="D86" s="34"/>
      <c r="E86" s="34"/>
      <c r="F86" s="37" t="str">
        <f aca="false">IF(A86="","",IF(G86&lt;&gt;"",G86,WORKDAY(A86,-2)))</f>
        <v/>
      </c>
      <c r="G86" s="35"/>
      <c r="H86" s="34"/>
      <c r="I86" s="34"/>
      <c r="J86" s="35"/>
      <c r="K86" s="34"/>
      <c r="L86" s="34"/>
      <c r="M86" s="34"/>
      <c r="N86" s="34"/>
      <c r="O86" s="34"/>
      <c r="P86" s="34"/>
      <c r="Q86" s="34"/>
      <c r="R86" s="34"/>
    </row>
    <row r="87" customFormat="false" ht="33.75" hidden="false" customHeight="true" outlineLevel="0" collapsed="false">
      <c r="A87" s="31"/>
      <c r="B87" s="42"/>
      <c r="C87" s="30"/>
      <c r="D87" s="30"/>
      <c r="E87" s="30"/>
      <c r="F87" s="37" t="str">
        <f aca="false">IF(A87="","",IF(G87&lt;&gt;"",G87,WORKDAY(A87,-2)))</f>
        <v/>
      </c>
      <c r="G87" s="31"/>
      <c r="H87" s="30"/>
      <c r="I87" s="30"/>
      <c r="J87" s="31"/>
      <c r="K87" s="30"/>
      <c r="L87" s="30"/>
      <c r="M87" s="30"/>
      <c r="N87" s="30"/>
      <c r="O87" s="30"/>
      <c r="P87" s="30"/>
      <c r="Q87" s="30"/>
      <c r="R87" s="30"/>
    </row>
    <row r="88" customFormat="false" ht="33.75" hidden="false" customHeight="true" outlineLevel="0" collapsed="false">
      <c r="A88" s="35"/>
      <c r="B88" s="43"/>
      <c r="C88" s="34"/>
      <c r="D88" s="34"/>
      <c r="E88" s="34"/>
      <c r="F88" s="37" t="str">
        <f aca="false">IF(A88="","",IF(G88&lt;&gt;"",G88,WORKDAY(A88,-2)))</f>
        <v/>
      </c>
      <c r="G88" s="35"/>
      <c r="H88" s="34"/>
      <c r="I88" s="34"/>
      <c r="J88" s="35"/>
      <c r="K88" s="34"/>
      <c r="L88" s="34"/>
      <c r="M88" s="34"/>
      <c r="N88" s="34"/>
      <c r="O88" s="34"/>
      <c r="P88" s="34"/>
      <c r="Q88" s="34"/>
      <c r="R88" s="34"/>
    </row>
    <row r="89" customFormat="false" ht="33.75" hidden="false" customHeight="true" outlineLevel="0" collapsed="false">
      <c r="A89" s="31"/>
      <c r="B89" s="42"/>
      <c r="C89" s="30"/>
      <c r="D89" s="30"/>
      <c r="E89" s="30"/>
      <c r="F89" s="37" t="str">
        <f aca="false">IF(A89="","",IF(G89&lt;&gt;"",G89,WORKDAY(A89,-2)))</f>
        <v/>
      </c>
      <c r="G89" s="31"/>
      <c r="H89" s="30"/>
      <c r="I89" s="30"/>
      <c r="J89" s="31"/>
      <c r="K89" s="30"/>
      <c r="L89" s="30"/>
      <c r="M89" s="30"/>
      <c r="N89" s="30"/>
      <c r="O89" s="30"/>
      <c r="P89" s="30"/>
      <c r="Q89" s="30"/>
      <c r="R89" s="30"/>
    </row>
    <row r="90" customFormat="false" ht="33.75" hidden="false" customHeight="true" outlineLevel="0" collapsed="false">
      <c r="A90" s="35"/>
      <c r="B90" s="43"/>
      <c r="C90" s="34"/>
      <c r="D90" s="34"/>
      <c r="E90" s="34"/>
      <c r="F90" s="37" t="str">
        <f aca="false">IF(A90="","",IF(G90&lt;&gt;"",G90,WORKDAY(A90,-2)))</f>
        <v/>
      </c>
      <c r="G90" s="35"/>
      <c r="H90" s="34"/>
      <c r="I90" s="34"/>
      <c r="J90" s="35"/>
      <c r="K90" s="34"/>
      <c r="L90" s="34"/>
      <c r="M90" s="34"/>
      <c r="N90" s="34"/>
      <c r="O90" s="34"/>
      <c r="P90" s="34"/>
      <c r="Q90" s="34"/>
      <c r="R90" s="34"/>
    </row>
    <row r="91" customFormat="false" ht="33.75" hidden="false" customHeight="true" outlineLevel="0" collapsed="false">
      <c r="A91" s="31"/>
      <c r="B91" s="42"/>
      <c r="C91" s="30"/>
      <c r="D91" s="30"/>
      <c r="E91" s="30"/>
      <c r="F91" s="37" t="str">
        <f aca="false">IF(A91="","",IF(G91&lt;&gt;"",G91,WORKDAY(A91,-2)))</f>
        <v/>
      </c>
      <c r="G91" s="31"/>
      <c r="H91" s="30"/>
      <c r="I91" s="30"/>
      <c r="J91" s="31"/>
      <c r="K91" s="30"/>
      <c r="L91" s="30"/>
      <c r="M91" s="30"/>
      <c r="N91" s="30"/>
      <c r="O91" s="30"/>
      <c r="P91" s="30"/>
      <c r="Q91" s="30"/>
      <c r="R91" s="30"/>
    </row>
    <row r="92" customFormat="false" ht="33.75" hidden="false" customHeight="true" outlineLevel="0" collapsed="false">
      <c r="A92" s="35"/>
      <c r="B92" s="43"/>
      <c r="C92" s="34"/>
      <c r="D92" s="34"/>
      <c r="E92" s="34"/>
      <c r="F92" s="37" t="str">
        <f aca="false">IF(A92="","",IF(G92&lt;&gt;"",G92,WORKDAY(A92,-2)))</f>
        <v/>
      </c>
      <c r="G92" s="35"/>
      <c r="H92" s="34"/>
      <c r="I92" s="34"/>
      <c r="J92" s="35"/>
      <c r="K92" s="34"/>
      <c r="L92" s="34"/>
      <c r="M92" s="34"/>
      <c r="N92" s="34"/>
      <c r="O92" s="34"/>
      <c r="P92" s="34"/>
      <c r="Q92" s="34"/>
      <c r="R92" s="34"/>
    </row>
    <row r="93" customFormat="false" ht="33.75" hidden="false" customHeight="true" outlineLevel="0" collapsed="false">
      <c r="A93" s="31"/>
      <c r="B93" s="42"/>
      <c r="C93" s="30"/>
      <c r="D93" s="30"/>
      <c r="E93" s="30"/>
      <c r="F93" s="37" t="str">
        <f aca="false">IF(A93="","",IF(G93&lt;&gt;"",G93,WORKDAY(A93,-2)))</f>
        <v/>
      </c>
      <c r="G93" s="31"/>
      <c r="H93" s="30"/>
      <c r="I93" s="30"/>
      <c r="J93" s="31"/>
      <c r="K93" s="30"/>
      <c r="L93" s="30"/>
      <c r="M93" s="30"/>
      <c r="N93" s="30"/>
      <c r="O93" s="30"/>
      <c r="P93" s="30"/>
      <c r="Q93" s="30"/>
      <c r="R93" s="30"/>
    </row>
    <row r="94" customFormat="false" ht="33.75" hidden="false" customHeight="true" outlineLevel="0" collapsed="false">
      <c r="A94" s="35"/>
      <c r="B94" s="43"/>
      <c r="C94" s="34"/>
      <c r="D94" s="34"/>
      <c r="E94" s="34"/>
      <c r="F94" s="37" t="str">
        <f aca="false">IF(A94="","",IF(G94&lt;&gt;"",G94,WORKDAY(A94,-2)))</f>
        <v/>
      </c>
      <c r="G94" s="35"/>
      <c r="H94" s="34"/>
      <c r="I94" s="34"/>
      <c r="J94" s="35"/>
      <c r="K94" s="34"/>
      <c r="L94" s="34"/>
      <c r="M94" s="34"/>
      <c r="N94" s="34"/>
      <c r="O94" s="34"/>
      <c r="P94" s="34"/>
      <c r="Q94" s="34"/>
      <c r="R94" s="34"/>
    </row>
    <row r="95" customFormat="false" ht="33.75" hidden="false" customHeight="true" outlineLevel="0" collapsed="false">
      <c r="A95" s="31"/>
      <c r="B95" s="42"/>
      <c r="C95" s="30"/>
      <c r="D95" s="30"/>
      <c r="E95" s="30"/>
      <c r="F95" s="37" t="str">
        <f aca="false">IF(A95="","",IF(G95&lt;&gt;"",G95,WORKDAY(A95,-2)))</f>
        <v/>
      </c>
      <c r="G95" s="31"/>
      <c r="H95" s="30"/>
      <c r="I95" s="30"/>
      <c r="J95" s="31"/>
      <c r="K95" s="30"/>
      <c r="L95" s="30"/>
      <c r="M95" s="30"/>
      <c r="N95" s="30"/>
      <c r="O95" s="30"/>
      <c r="P95" s="30"/>
      <c r="Q95" s="30"/>
      <c r="R95" s="30"/>
    </row>
    <row r="96" customFormat="false" ht="33.75" hidden="false" customHeight="true" outlineLevel="0" collapsed="false">
      <c r="A96" s="35"/>
      <c r="B96" s="43"/>
      <c r="C96" s="34"/>
      <c r="D96" s="34"/>
      <c r="E96" s="34"/>
      <c r="F96" s="37" t="str">
        <f aca="false">IF(A96="","",IF(G96&lt;&gt;"",G96,WORKDAY(A96,-2)))</f>
        <v/>
      </c>
      <c r="G96" s="35"/>
      <c r="H96" s="34"/>
      <c r="I96" s="34"/>
      <c r="J96" s="35"/>
      <c r="K96" s="34"/>
      <c r="L96" s="34"/>
      <c r="M96" s="34"/>
      <c r="N96" s="34"/>
      <c r="O96" s="34"/>
      <c r="P96" s="34"/>
      <c r="Q96" s="34"/>
      <c r="R96" s="34"/>
    </row>
    <row r="97" customFormat="false" ht="33.75" hidden="false" customHeight="true" outlineLevel="0" collapsed="false">
      <c r="A97" s="31"/>
      <c r="B97" s="42"/>
      <c r="C97" s="30"/>
      <c r="D97" s="30"/>
      <c r="E97" s="30"/>
      <c r="F97" s="37" t="str">
        <f aca="false">IF(A97="","",IF(G97&lt;&gt;"",G97,WORKDAY(A97,-2)))</f>
        <v/>
      </c>
      <c r="G97" s="31"/>
      <c r="H97" s="30"/>
      <c r="I97" s="30"/>
      <c r="J97" s="31"/>
      <c r="K97" s="30"/>
      <c r="L97" s="30"/>
      <c r="M97" s="30"/>
      <c r="N97" s="30"/>
      <c r="O97" s="30"/>
      <c r="P97" s="30"/>
      <c r="Q97" s="30"/>
      <c r="R97" s="30"/>
    </row>
    <row r="98" customFormat="false" ht="33.75" hidden="false" customHeight="true" outlineLevel="0" collapsed="false">
      <c r="A98" s="35"/>
      <c r="B98" s="43"/>
      <c r="C98" s="34"/>
      <c r="D98" s="34"/>
      <c r="E98" s="34"/>
      <c r="F98" s="37" t="str">
        <f aca="false">IF(A98="","",IF(G98&lt;&gt;"",G98,WORKDAY(A98,-2)))</f>
        <v/>
      </c>
      <c r="G98" s="35"/>
      <c r="H98" s="34"/>
      <c r="I98" s="34"/>
      <c r="J98" s="35"/>
      <c r="K98" s="34"/>
      <c r="L98" s="34"/>
      <c r="M98" s="34"/>
      <c r="N98" s="34"/>
      <c r="O98" s="34"/>
      <c r="P98" s="34"/>
      <c r="Q98" s="34"/>
      <c r="R98" s="34"/>
    </row>
    <row r="99" customFormat="false" ht="33.75" hidden="false" customHeight="true" outlineLevel="0" collapsed="false">
      <c r="A99" s="31"/>
      <c r="B99" s="42"/>
      <c r="C99" s="30"/>
      <c r="D99" s="30"/>
      <c r="E99" s="30"/>
      <c r="F99" s="37" t="str">
        <f aca="false">IF(A99="","",IF(G99&lt;&gt;"",G99,WORKDAY(A99,-2)))</f>
        <v/>
      </c>
      <c r="G99" s="31"/>
      <c r="H99" s="30"/>
      <c r="I99" s="30"/>
      <c r="J99" s="31"/>
      <c r="K99" s="30"/>
      <c r="L99" s="30"/>
      <c r="M99" s="30"/>
      <c r="N99" s="30"/>
      <c r="O99" s="30"/>
      <c r="P99" s="30"/>
      <c r="Q99" s="30"/>
      <c r="R99" s="30"/>
    </row>
    <row r="100" customFormat="false" ht="33.75" hidden="false" customHeight="true" outlineLevel="0" collapsed="false">
      <c r="A100" s="35"/>
      <c r="B100" s="43"/>
      <c r="C100" s="34"/>
      <c r="D100" s="34"/>
      <c r="E100" s="34"/>
      <c r="F100" s="37" t="str">
        <f aca="false">IF(A100="","",IF(G100&lt;&gt;"",G100,WORKDAY(A100,-2)))</f>
        <v/>
      </c>
      <c r="G100" s="35"/>
      <c r="H100" s="34"/>
      <c r="I100" s="34"/>
      <c r="J100" s="35"/>
      <c r="K100" s="34"/>
      <c r="L100" s="34"/>
      <c r="M100" s="34"/>
      <c r="N100" s="34"/>
      <c r="O100" s="34"/>
      <c r="P100" s="34"/>
      <c r="Q100" s="34"/>
      <c r="R100" s="34"/>
    </row>
    <row r="101" customFormat="false" ht="33.75" hidden="false" customHeight="true" outlineLevel="0" collapsed="false">
      <c r="A101" s="31"/>
      <c r="B101" s="42"/>
      <c r="C101" s="30"/>
      <c r="D101" s="30"/>
      <c r="E101" s="30"/>
      <c r="F101" s="37" t="str">
        <f aca="false">IF(A101="","",IF(G101&lt;&gt;"",G101,WORKDAY(A101,-2)))</f>
        <v/>
      </c>
      <c r="G101" s="31"/>
      <c r="H101" s="30"/>
      <c r="I101" s="30"/>
      <c r="J101" s="31"/>
      <c r="K101" s="30"/>
      <c r="L101" s="30"/>
      <c r="M101" s="30"/>
      <c r="N101" s="30"/>
      <c r="O101" s="30"/>
      <c r="P101" s="30"/>
      <c r="Q101" s="30"/>
      <c r="R101" s="30"/>
    </row>
    <row r="102" customFormat="false" ht="33.75" hidden="false" customHeight="true" outlineLevel="0" collapsed="false">
      <c r="A102" s="35"/>
      <c r="B102" s="43"/>
      <c r="C102" s="34"/>
      <c r="D102" s="34"/>
      <c r="E102" s="34"/>
      <c r="F102" s="37" t="str">
        <f aca="false">IF(A102="","",IF(G102&lt;&gt;"",G102,WORKDAY(A102,-2)))</f>
        <v/>
      </c>
      <c r="G102" s="35"/>
      <c r="H102" s="34"/>
      <c r="I102" s="34"/>
      <c r="J102" s="35"/>
      <c r="K102" s="34"/>
      <c r="L102" s="34"/>
      <c r="M102" s="34"/>
      <c r="N102" s="34"/>
      <c r="O102" s="34"/>
      <c r="P102" s="34"/>
      <c r="Q102" s="34"/>
      <c r="R102" s="34"/>
    </row>
    <row r="103" customFormat="false" ht="33.75" hidden="false" customHeight="true" outlineLevel="0" collapsed="false">
      <c r="A103" s="31"/>
      <c r="B103" s="42"/>
      <c r="C103" s="30"/>
      <c r="D103" s="30"/>
      <c r="E103" s="30"/>
      <c r="F103" s="37" t="str">
        <f aca="false">IF(A103="","",IF(G103&lt;&gt;"",G103,WORKDAY(A103,-2)))</f>
        <v/>
      </c>
      <c r="G103" s="31"/>
      <c r="H103" s="30"/>
      <c r="I103" s="30"/>
      <c r="J103" s="31"/>
      <c r="K103" s="30"/>
      <c r="L103" s="30"/>
      <c r="M103" s="30"/>
      <c r="N103" s="30"/>
      <c r="O103" s="30"/>
      <c r="P103" s="30"/>
      <c r="Q103" s="30"/>
      <c r="R103" s="30"/>
    </row>
    <row r="104" customFormat="false" ht="33.75" hidden="false" customHeight="true" outlineLevel="0" collapsed="false">
      <c r="A104" s="35"/>
      <c r="B104" s="43"/>
      <c r="C104" s="34"/>
      <c r="D104" s="34"/>
      <c r="E104" s="34"/>
      <c r="F104" s="37" t="str">
        <f aca="false">IF(A104="","",IF(G104&lt;&gt;"",G104,WORKDAY(A104,-2)))</f>
        <v/>
      </c>
      <c r="G104" s="35"/>
      <c r="H104" s="34"/>
      <c r="I104" s="34"/>
      <c r="J104" s="35"/>
      <c r="K104" s="34"/>
      <c r="L104" s="34"/>
      <c r="M104" s="34"/>
      <c r="N104" s="34"/>
      <c r="O104" s="34"/>
      <c r="P104" s="34"/>
      <c r="Q104" s="34"/>
      <c r="R104" s="34"/>
    </row>
    <row r="105" customFormat="false" ht="33.75" hidden="false" customHeight="true" outlineLevel="0" collapsed="false">
      <c r="A105" s="31"/>
      <c r="B105" s="42"/>
      <c r="C105" s="30"/>
      <c r="D105" s="30"/>
      <c r="E105" s="30"/>
      <c r="F105" s="37" t="str">
        <f aca="false">IF(A105="","",IF(G105&lt;&gt;"",G105,WORKDAY(A105,-2)))</f>
        <v/>
      </c>
      <c r="G105" s="31"/>
      <c r="H105" s="30"/>
      <c r="I105" s="30"/>
      <c r="J105" s="31"/>
      <c r="K105" s="30"/>
      <c r="L105" s="30"/>
      <c r="M105" s="30"/>
      <c r="N105" s="30"/>
      <c r="O105" s="30"/>
      <c r="P105" s="30"/>
      <c r="Q105" s="30"/>
      <c r="R105" s="30"/>
    </row>
    <row r="106" customFormat="false" ht="33.75" hidden="false" customHeight="true" outlineLevel="0" collapsed="false">
      <c r="A106" s="35"/>
      <c r="B106" s="43"/>
      <c r="C106" s="34"/>
      <c r="D106" s="34"/>
      <c r="E106" s="34"/>
      <c r="F106" s="37" t="str">
        <f aca="false">IF(A106="","",IF(G106&lt;&gt;"",G106,WORKDAY(A106,-2)))</f>
        <v/>
      </c>
      <c r="G106" s="35"/>
      <c r="H106" s="34"/>
      <c r="I106" s="34"/>
      <c r="J106" s="35"/>
      <c r="K106" s="34"/>
      <c r="L106" s="34"/>
      <c r="M106" s="34"/>
      <c r="N106" s="34"/>
      <c r="O106" s="34"/>
      <c r="P106" s="34"/>
      <c r="Q106" s="34"/>
      <c r="R106" s="34"/>
    </row>
    <row r="107" customFormat="false" ht="33.75" hidden="false" customHeight="true" outlineLevel="0" collapsed="false">
      <c r="A107" s="31"/>
      <c r="B107" s="42"/>
      <c r="C107" s="30"/>
      <c r="D107" s="30"/>
      <c r="E107" s="30"/>
      <c r="F107" s="37" t="str">
        <f aca="false">IF(A107="","",IF(G107&lt;&gt;"",G107,WORKDAY(A107,-2)))</f>
        <v/>
      </c>
      <c r="G107" s="31"/>
      <c r="H107" s="30"/>
      <c r="I107" s="30"/>
      <c r="J107" s="31"/>
      <c r="K107" s="30"/>
      <c r="L107" s="30"/>
      <c r="M107" s="30"/>
      <c r="N107" s="30"/>
      <c r="O107" s="30"/>
      <c r="P107" s="30"/>
      <c r="Q107" s="30"/>
      <c r="R107" s="30"/>
    </row>
    <row r="108" customFormat="false" ht="33.75" hidden="false" customHeight="true" outlineLevel="0" collapsed="false">
      <c r="A108" s="35"/>
      <c r="B108" s="43"/>
      <c r="C108" s="34"/>
      <c r="D108" s="34"/>
      <c r="E108" s="34"/>
      <c r="F108" s="37" t="str">
        <f aca="false">IF(A108="","",IF(G108&lt;&gt;"",G108,WORKDAY(A108,-2)))</f>
        <v/>
      </c>
      <c r="G108" s="35"/>
      <c r="H108" s="34"/>
      <c r="I108" s="34"/>
      <c r="J108" s="35"/>
      <c r="K108" s="34"/>
      <c r="L108" s="34"/>
      <c r="M108" s="34"/>
      <c r="N108" s="34"/>
      <c r="O108" s="34"/>
      <c r="P108" s="34"/>
      <c r="Q108" s="34"/>
      <c r="R108" s="34"/>
    </row>
    <row r="109" customFormat="false" ht="33.75" hidden="false" customHeight="true" outlineLevel="0" collapsed="false">
      <c r="A109" s="31"/>
      <c r="B109" s="42"/>
      <c r="C109" s="30"/>
      <c r="D109" s="30"/>
      <c r="E109" s="30"/>
      <c r="F109" s="37" t="str">
        <f aca="false">IF(A109="","",IF(G109&lt;&gt;"",G109,WORKDAY(A109,-2)))</f>
        <v/>
      </c>
      <c r="G109" s="31"/>
      <c r="H109" s="30"/>
      <c r="I109" s="30"/>
      <c r="J109" s="31"/>
      <c r="K109" s="30"/>
      <c r="L109" s="30"/>
      <c r="M109" s="30"/>
      <c r="N109" s="30"/>
      <c r="O109" s="30"/>
      <c r="P109" s="30"/>
      <c r="Q109" s="30"/>
      <c r="R109" s="30"/>
    </row>
    <row r="110" customFormat="false" ht="33.75" hidden="false" customHeight="true" outlineLevel="0" collapsed="false">
      <c r="A110" s="35"/>
      <c r="B110" s="43"/>
      <c r="C110" s="34"/>
      <c r="D110" s="34"/>
      <c r="E110" s="34"/>
      <c r="F110" s="37" t="str">
        <f aca="false">IF(A110="","",IF(G110&lt;&gt;"",G110,WORKDAY(A110,-2)))</f>
        <v/>
      </c>
      <c r="G110" s="35"/>
      <c r="H110" s="34"/>
      <c r="I110" s="34"/>
      <c r="J110" s="35"/>
      <c r="K110" s="34"/>
      <c r="L110" s="34"/>
      <c r="M110" s="34"/>
      <c r="N110" s="34"/>
      <c r="O110" s="34"/>
      <c r="P110" s="34"/>
      <c r="Q110" s="34"/>
      <c r="R110" s="34"/>
    </row>
    <row r="111" customFormat="false" ht="33.75" hidden="false" customHeight="true" outlineLevel="0" collapsed="false">
      <c r="A111" s="31"/>
      <c r="B111" s="42"/>
      <c r="C111" s="30"/>
      <c r="D111" s="30"/>
      <c r="E111" s="30"/>
      <c r="F111" s="37" t="str">
        <f aca="false">IF(A111="","",IF(G111&lt;&gt;"",G111,WORKDAY(A111,-2)))</f>
        <v/>
      </c>
      <c r="G111" s="31"/>
      <c r="H111" s="30"/>
      <c r="I111" s="30"/>
      <c r="J111" s="31"/>
      <c r="K111" s="30"/>
      <c r="L111" s="30"/>
      <c r="M111" s="30"/>
      <c r="N111" s="30"/>
      <c r="O111" s="30"/>
      <c r="P111" s="30"/>
      <c r="Q111" s="30"/>
      <c r="R111" s="30"/>
    </row>
    <row r="112" customFormat="false" ht="33.75" hidden="false" customHeight="true" outlineLevel="0" collapsed="false">
      <c r="A112" s="35"/>
      <c r="B112" s="43"/>
      <c r="C112" s="34"/>
      <c r="D112" s="34"/>
      <c r="E112" s="34"/>
      <c r="F112" s="37" t="str">
        <f aca="false">IF(A112="","",IF(G112&lt;&gt;"",G112,WORKDAY(A112,-2)))</f>
        <v/>
      </c>
      <c r="G112" s="35"/>
      <c r="H112" s="34"/>
      <c r="I112" s="34"/>
      <c r="J112" s="35"/>
      <c r="K112" s="34"/>
      <c r="L112" s="34"/>
      <c r="M112" s="34"/>
      <c r="N112" s="34"/>
      <c r="O112" s="34"/>
      <c r="P112" s="34"/>
      <c r="Q112" s="34"/>
      <c r="R112" s="34"/>
    </row>
    <row r="113" customFormat="false" ht="33.75" hidden="false" customHeight="true" outlineLevel="0" collapsed="false">
      <c r="A113" s="31"/>
      <c r="B113" s="42"/>
      <c r="C113" s="30"/>
      <c r="D113" s="30"/>
      <c r="E113" s="30"/>
      <c r="F113" s="37" t="str">
        <f aca="false">IF(A113="","",IF(G113&lt;&gt;"",G113,WORKDAY(A113,-2)))</f>
        <v/>
      </c>
      <c r="G113" s="31"/>
      <c r="H113" s="30"/>
      <c r="I113" s="30"/>
      <c r="J113" s="31"/>
      <c r="K113" s="30"/>
      <c r="L113" s="30"/>
      <c r="M113" s="30"/>
      <c r="N113" s="30"/>
      <c r="O113" s="30"/>
      <c r="P113" s="30"/>
      <c r="Q113" s="30"/>
      <c r="R113" s="30"/>
    </row>
    <row r="114" customFormat="false" ht="33.75" hidden="false" customHeight="true" outlineLevel="0" collapsed="false">
      <c r="A114" s="35"/>
      <c r="B114" s="43"/>
      <c r="C114" s="34"/>
      <c r="D114" s="34"/>
      <c r="E114" s="34"/>
      <c r="F114" s="37" t="str">
        <f aca="false">IF(A114="","",IF(G114&lt;&gt;"",G114,WORKDAY(A114,-2)))</f>
        <v/>
      </c>
      <c r="G114" s="35"/>
      <c r="H114" s="34"/>
      <c r="I114" s="34"/>
      <c r="J114" s="35"/>
      <c r="K114" s="34"/>
      <c r="L114" s="34"/>
      <c r="M114" s="34"/>
      <c r="N114" s="34"/>
      <c r="O114" s="34"/>
      <c r="P114" s="34"/>
      <c r="Q114" s="34"/>
      <c r="R114" s="34"/>
    </row>
    <row r="115" customFormat="false" ht="33.75" hidden="false" customHeight="true" outlineLevel="0" collapsed="false">
      <c r="A115" s="31"/>
      <c r="B115" s="42"/>
      <c r="C115" s="30"/>
      <c r="D115" s="30"/>
      <c r="E115" s="30"/>
      <c r="F115" s="37" t="str">
        <f aca="false">IF(A115="","",IF(G115&lt;&gt;"",G115,WORKDAY(A115,-2)))</f>
        <v/>
      </c>
      <c r="G115" s="31"/>
      <c r="H115" s="30"/>
      <c r="I115" s="30"/>
      <c r="J115" s="31"/>
      <c r="K115" s="30"/>
      <c r="L115" s="30"/>
      <c r="M115" s="30"/>
      <c r="N115" s="30"/>
      <c r="O115" s="30"/>
      <c r="P115" s="30"/>
      <c r="Q115" s="30"/>
      <c r="R115" s="30"/>
    </row>
    <row r="116" customFormat="false" ht="33.75" hidden="false" customHeight="true" outlineLevel="0" collapsed="false">
      <c r="A116" s="35"/>
      <c r="B116" s="43"/>
      <c r="C116" s="34"/>
      <c r="D116" s="34"/>
      <c r="E116" s="34"/>
      <c r="F116" s="37" t="str">
        <f aca="false">IF(A116="","",IF(G116&lt;&gt;"",G116,WORKDAY(A116,-2)))</f>
        <v/>
      </c>
      <c r="G116" s="35"/>
      <c r="H116" s="34"/>
      <c r="I116" s="34"/>
      <c r="J116" s="35"/>
      <c r="K116" s="34"/>
      <c r="L116" s="34"/>
      <c r="M116" s="34"/>
      <c r="N116" s="34"/>
      <c r="O116" s="34"/>
      <c r="P116" s="34"/>
      <c r="Q116" s="34"/>
      <c r="R116" s="34"/>
    </row>
    <row r="117" customFormat="false" ht="33.75" hidden="false" customHeight="true" outlineLevel="0" collapsed="false">
      <c r="A117" s="31"/>
      <c r="B117" s="42"/>
      <c r="C117" s="30"/>
      <c r="D117" s="30"/>
      <c r="E117" s="30"/>
      <c r="F117" s="37" t="str">
        <f aca="false">IF(A117="","",IF(G117&lt;&gt;"",G117,WORKDAY(A117,-2)))</f>
        <v/>
      </c>
      <c r="G117" s="31"/>
      <c r="H117" s="30"/>
      <c r="I117" s="30"/>
      <c r="J117" s="31"/>
      <c r="K117" s="30"/>
      <c r="L117" s="30"/>
      <c r="M117" s="30"/>
      <c r="N117" s="30"/>
      <c r="O117" s="30"/>
      <c r="P117" s="30"/>
      <c r="Q117" s="30"/>
      <c r="R117" s="30"/>
    </row>
    <row r="118" customFormat="false" ht="33.75" hidden="false" customHeight="true" outlineLevel="0" collapsed="false">
      <c r="A118" s="35"/>
      <c r="B118" s="43"/>
      <c r="C118" s="34"/>
      <c r="D118" s="34"/>
      <c r="E118" s="34"/>
      <c r="F118" s="37" t="str">
        <f aca="false">IF(A118="","",IF(G118&lt;&gt;"",G118,WORKDAY(A118,-2)))</f>
        <v/>
      </c>
      <c r="G118" s="35"/>
      <c r="H118" s="34"/>
      <c r="I118" s="34"/>
      <c r="J118" s="35"/>
      <c r="K118" s="34"/>
      <c r="L118" s="34"/>
      <c r="M118" s="34"/>
      <c r="N118" s="34"/>
      <c r="O118" s="34"/>
      <c r="P118" s="34"/>
      <c r="Q118" s="34"/>
      <c r="R118" s="34"/>
    </row>
    <row r="119" customFormat="false" ht="33.75" hidden="false" customHeight="true" outlineLevel="0" collapsed="false">
      <c r="A119" s="31"/>
      <c r="B119" s="42"/>
      <c r="C119" s="30"/>
      <c r="D119" s="30"/>
      <c r="E119" s="30"/>
      <c r="F119" s="37" t="str">
        <f aca="false">IF(A119="","",IF(G119&lt;&gt;"",G119,WORKDAY(A119,-2)))</f>
        <v/>
      </c>
      <c r="G119" s="31"/>
      <c r="H119" s="30"/>
      <c r="I119" s="30"/>
      <c r="J119" s="31"/>
      <c r="K119" s="30"/>
      <c r="L119" s="30"/>
      <c r="M119" s="30"/>
      <c r="N119" s="30"/>
      <c r="O119" s="30"/>
      <c r="P119" s="30"/>
      <c r="Q119" s="30"/>
      <c r="R119" s="30"/>
    </row>
    <row r="120" customFormat="false" ht="33.75" hidden="false" customHeight="true" outlineLevel="0" collapsed="false">
      <c r="A120" s="35"/>
      <c r="B120" s="43"/>
      <c r="C120" s="34"/>
      <c r="D120" s="34"/>
      <c r="E120" s="34"/>
      <c r="F120" s="37" t="str">
        <f aca="false">IF(A120="","",IF(G120&lt;&gt;"",G120,WORKDAY(A120,-2)))</f>
        <v/>
      </c>
      <c r="G120" s="35"/>
      <c r="H120" s="34"/>
      <c r="I120" s="34"/>
      <c r="J120" s="35"/>
      <c r="K120" s="34"/>
      <c r="L120" s="34"/>
      <c r="M120" s="34"/>
      <c r="N120" s="34"/>
      <c r="O120" s="34"/>
      <c r="P120" s="34"/>
      <c r="Q120" s="34"/>
      <c r="R120" s="34"/>
    </row>
    <row r="121" customFormat="false" ht="33.75" hidden="false" customHeight="true" outlineLevel="0" collapsed="false">
      <c r="A121" s="31"/>
      <c r="B121" s="42"/>
      <c r="C121" s="30"/>
      <c r="D121" s="30"/>
      <c r="E121" s="30"/>
      <c r="F121" s="37" t="str">
        <f aca="false">IF(A121="","",IF(G121&lt;&gt;"",G121,WORKDAY(A121,-2)))</f>
        <v/>
      </c>
      <c r="G121" s="31"/>
      <c r="H121" s="30"/>
      <c r="I121" s="30"/>
      <c r="J121" s="31"/>
      <c r="K121" s="30"/>
      <c r="L121" s="30"/>
      <c r="M121" s="30"/>
      <c r="N121" s="30"/>
      <c r="O121" s="30"/>
      <c r="P121" s="30"/>
      <c r="Q121" s="30"/>
      <c r="R121" s="30"/>
    </row>
    <row r="122" customFormat="false" ht="33.75" hidden="false" customHeight="true" outlineLevel="0" collapsed="false">
      <c r="A122" s="35"/>
      <c r="B122" s="43"/>
      <c r="C122" s="34"/>
      <c r="D122" s="34"/>
      <c r="E122" s="34"/>
      <c r="F122" s="37" t="str">
        <f aca="false">IF(A122="","",IF(G122&lt;&gt;"",G122,WORKDAY(A122,-2)))</f>
        <v/>
      </c>
      <c r="G122" s="35"/>
      <c r="H122" s="34"/>
      <c r="I122" s="34"/>
      <c r="J122" s="35"/>
      <c r="K122" s="34"/>
      <c r="L122" s="34"/>
      <c r="M122" s="34"/>
      <c r="N122" s="34"/>
      <c r="O122" s="34"/>
      <c r="P122" s="34"/>
      <c r="Q122" s="34"/>
      <c r="R122" s="34"/>
    </row>
    <row r="123" customFormat="false" ht="33.75" hidden="false" customHeight="true" outlineLevel="0" collapsed="false">
      <c r="A123" s="31"/>
      <c r="B123" s="42"/>
      <c r="C123" s="30"/>
      <c r="D123" s="30"/>
      <c r="E123" s="30"/>
      <c r="F123" s="37" t="str">
        <f aca="false">IF(A123="","",IF(G123&lt;&gt;"",G123,WORKDAY(A123,-2)))</f>
        <v/>
      </c>
      <c r="G123" s="31"/>
      <c r="H123" s="30"/>
      <c r="I123" s="30"/>
      <c r="J123" s="31"/>
      <c r="K123" s="30"/>
      <c r="L123" s="30"/>
      <c r="M123" s="30"/>
      <c r="N123" s="30"/>
      <c r="O123" s="30"/>
      <c r="P123" s="30"/>
      <c r="Q123" s="30"/>
      <c r="R123" s="30"/>
    </row>
    <row r="124" customFormat="false" ht="33.75" hidden="false" customHeight="true" outlineLevel="0" collapsed="false">
      <c r="A124" s="35"/>
      <c r="B124" s="43"/>
      <c r="C124" s="34"/>
      <c r="D124" s="34"/>
      <c r="E124" s="34"/>
      <c r="F124" s="37" t="str">
        <f aca="false">IF(A124="","",IF(G124&lt;&gt;"",G124,WORKDAY(A124,-2)))</f>
        <v/>
      </c>
      <c r="G124" s="35"/>
      <c r="H124" s="34"/>
      <c r="I124" s="34"/>
      <c r="J124" s="35"/>
      <c r="K124" s="34"/>
      <c r="L124" s="34"/>
      <c r="M124" s="34"/>
      <c r="N124" s="34"/>
      <c r="O124" s="34"/>
      <c r="P124" s="34"/>
      <c r="Q124" s="34"/>
      <c r="R124" s="34"/>
    </row>
    <row r="125" customFormat="false" ht="33.75" hidden="false" customHeight="true" outlineLevel="0" collapsed="false">
      <c r="A125" s="31"/>
      <c r="B125" s="42"/>
      <c r="C125" s="30"/>
      <c r="D125" s="30"/>
      <c r="E125" s="30"/>
      <c r="F125" s="37" t="str">
        <f aca="false">IF(A125="","",IF(G125&lt;&gt;"",G125,WORKDAY(A125,-2)))</f>
        <v/>
      </c>
      <c r="G125" s="31"/>
      <c r="H125" s="30"/>
      <c r="I125" s="30"/>
      <c r="J125" s="31"/>
      <c r="K125" s="30"/>
      <c r="L125" s="30"/>
      <c r="M125" s="30"/>
      <c r="N125" s="30"/>
      <c r="O125" s="30"/>
      <c r="P125" s="30"/>
      <c r="Q125" s="30"/>
      <c r="R125" s="30"/>
    </row>
    <row r="126" customFormat="false" ht="33.75" hidden="false" customHeight="true" outlineLevel="0" collapsed="false">
      <c r="A126" s="35"/>
      <c r="B126" s="43"/>
      <c r="C126" s="34"/>
      <c r="D126" s="34"/>
      <c r="E126" s="34"/>
      <c r="F126" s="37" t="str">
        <f aca="false">IF(A126="","",IF(G126&lt;&gt;"",G126,WORKDAY(A126,-2)))</f>
        <v/>
      </c>
      <c r="G126" s="35"/>
      <c r="H126" s="34"/>
      <c r="I126" s="34"/>
      <c r="J126" s="35"/>
      <c r="K126" s="34"/>
      <c r="L126" s="34"/>
      <c r="M126" s="34"/>
      <c r="N126" s="34"/>
      <c r="O126" s="34"/>
      <c r="P126" s="34"/>
      <c r="Q126" s="34"/>
      <c r="R126" s="34"/>
    </row>
    <row r="127" customFormat="false" ht="33.75" hidden="false" customHeight="true" outlineLevel="0" collapsed="false">
      <c r="A127" s="31"/>
      <c r="B127" s="42"/>
      <c r="C127" s="30"/>
      <c r="D127" s="30"/>
      <c r="E127" s="30"/>
      <c r="F127" s="37" t="str">
        <f aca="false">IF(A127="","",IF(G127&lt;&gt;"",G127,WORKDAY(A127,-2)))</f>
        <v/>
      </c>
      <c r="G127" s="31"/>
      <c r="H127" s="30"/>
      <c r="I127" s="30"/>
      <c r="J127" s="31"/>
      <c r="K127" s="30"/>
      <c r="L127" s="30"/>
      <c r="M127" s="30"/>
      <c r="N127" s="30"/>
      <c r="O127" s="30"/>
      <c r="P127" s="30"/>
      <c r="Q127" s="30"/>
      <c r="R127" s="30"/>
    </row>
    <row r="128" customFormat="false" ht="33.75" hidden="false" customHeight="true" outlineLevel="0" collapsed="false">
      <c r="A128" s="35"/>
      <c r="B128" s="43"/>
      <c r="C128" s="34"/>
      <c r="D128" s="34"/>
      <c r="E128" s="34"/>
      <c r="F128" s="37" t="str">
        <f aca="false">IF(A128="","",IF(G128&lt;&gt;"",G128,WORKDAY(A128,-2)))</f>
        <v/>
      </c>
      <c r="G128" s="35"/>
      <c r="H128" s="34"/>
      <c r="I128" s="34"/>
      <c r="J128" s="35"/>
      <c r="K128" s="34"/>
      <c r="L128" s="34"/>
      <c r="M128" s="34"/>
      <c r="N128" s="34"/>
      <c r="O128" s="34"/>
      <c r="P128" s="34"/>
      <c r="Q128" s="34"/>
      <c r="R128" s="34"/>
    </row>
    <row r="129" customFormat="false" ht="33.75" hidden="false" customHeight="true" outlineLevel="0" collapsed="false">
      <c r="A129" s="31"/>
      <c r="B129" s="42"/>
      <c r="C129" s="30"/>
      <c r="D129" s="30"/>
      <c r="E129" s="30"/>
      <c r="F129" s="37" t="str">
        <f aca="false">IF(A129="","",IF(G129&lt;&gt;"",G129,WORKDAY(A129,-2)))</f>
        <v/>
      </c>
      <c r="G129" s="31"/>
      <c r="H129" s="30"/>
      <c r="I129" s="30"/>
      <c r="J129" s="31"/>
      <c r="K129" s="30"/>
      <c r="L129" s="30"/>
      <c r="M129" s="30"/>
      <c r="N129" s="30"/>
      <c r="O129" s="30"/>
      <c r="P129" s="30"/>
      <c r="Q129" s="30"/>
      <c r="R129" s="30"/>
    </row>
    <row r="130" customFormat="false" ht="33.75" hidden="false" customHeight="true" outlineLevel="0" collapsed="false">
      <c r="A130" s="35"/>
      <c r="B130" s="43"/>
      <c r="C130" s="34"/>
      <c r="D130" s="34"/>
      <c r="E130" s="34"/>
      <c r="F130" s="37" t="str">
        <f aca="false">IF(A130="","",IF(G130&lt;&gt;"",G130,WORKDAY(A130,-2)))</f>
        <v/>
      </c>
      <c r="G130" s="35"/>
      <c r="H130" s="34"/>
      <c r="I130" s="34"/>
      <c r="J130" s="35"/>
      <c r="K130" s="34"/>
      <c r="L130" s="34"/>
      <c r="M130" s="34"/>
      <c r="N130" s="34"/>
      <c r="O130" s="34"/>
      <c r="P130" s="34"/>
      <c r="Q130" s="34"/>
      <c r="R130" s="34"/>
    </row>
    <row r="131" customFormat="false" ht="33.75" hidden="false" customHeight="true" outlineLevel="0" collapsed="false">
      <c r="A131" s="31"/>
      <c r="B131" s="42"/>
      <c r="C131" s="30"/>
      <c r="D131" s="30"/>
      <c r="E131" s="30"/>
      <c r="F131" s="37" t="str">
        <f aca="false">IF(A131="","",IF(G131&lt;&gt;"",G131,WORKDAY(A131,-2)))</f>
        <v/>
      </c>
      <c r="G131" s="31"/>
      <c r="H131" s="30"/>
      <c r="I131" s="30"/>
      <c r="J131" s="31"/>
      <c r="K131" s="30"/>
      <c r="L131" s="30"/>
      <c r="M131" s="30"/>
      <c r="N131" s="30"/>
      <c r="O131" s="30"/>
      <c r="P131" s="30"/>
      <c r="Q131" s="30"/>
      <c r="R131" s="30"/>
    </row>
    <row r="132" customFormat="false" ht="33.75" hidden="false" customHeight="true" outlineLevel="0" collapsed="false">
      <c r="A132" s="35"/>
      <c r="B132" s="43"/>
      <c r="C132" s="34"/>
      <c r="D132" s="34"/>
      <c r="E132" s="34"/>
      <c r="F132" s="37" t="str">
        <f aca="false">IF(A132="","",IF(G132&lt;&gt;"",G132,WORKDAY(A132,-2)))</f>
        <v/>
      </c>
      <c r="G132" s="35"/>
      <c r="H132" s="34"/>
      <c r="I132" s="34"/>
      <c r="J132" s="35"/>
      <c r="K132" s="34"/>
      <c r="L132" s="34"/>
      <c r="M132" s="34"/>
      <c r="N132" s="34"/>
      <c r="O132" s="34"/>
      <c r="P132" s="34"/>
      <c r="Q132" s="34"/>
      <c r="R132" s="34"/>
    </row>
    <row r="133" customFormat="false" ht="33.75" hidden="false" customHeight="true" outlineLevel="0" collapsed="false">
      <c r="A133" s="31"/>
      <c r="B133" s="42"/>
      <c r="C133" s="30"/>
      <c r="D133" s="30"/>
      <c r="E133" s="30"/>
      <c r="F133" s="37" t="str">
        <f aca="false">IF(A133="","",IF(G133&lt;&gt;"",G133,WORKDAY(A133,-2)))</f>
        <v/>
      </c>
      <c r="G133" s="31"/>
      <c r="H133" s="30"/>
      <c r="I133" s="30"/>
      <c r="J133" s="31"/>
      <c r="K133" s="30"/>
      <c r="L133" s="30"/>
      <c r="M133" s="30"/>
      <c r="N133" s="30"/>
      <c r="O133" s="30"/>
      <c r="P133" s="30"/>
      <c r="Q133" s="30"/>
      <c r="R133" s="30"/>
    </row>
    <row r="134" customFormat="false" ht="33.75" hidden="false" customHeight="true" outlineLevel="0" collapsed="false">
      <c r="A134" s="35"/>
      <c r="B134" s="43"/>
      <c r="C134" s="34"/>
      <c r="D134" s="34"/>
      <c r="E134" s="34"/>
      <c r="F134" s="37" t="str">
        <f aca="false">IF(A134="","",IF(G134&lt;&gt;"",G134,WORKDAY(A134,-2)))</f>
        <v/>
      </c>
      <c r="G134" s="35"/>
      <c r="H134" s="34"/>
      <c r="I134" s="34"/>
      <c r="J134" s="35"/>
      <c r="K134" s="34"/>
      <c r="L134" s="34"/>
      <c r="M134" s="34"/>
      <c r="N134" s="34"/>
      <c r="O134" s="34"/>
      <c r="P134" s="34"/>
      <c r="Q134" s="34"/>
      <c r="R134" s="34"/>
    </row>
    <row r="135" customFormat="false" ht="33.75" hidden="false" customHeight="true" outlineLevel="0" collapsed="false">
      <c r="A135" s="31"/>
      <c r="B135" s="42"/>
      <c r="C135" s="30"/>
      <c r="D135" s="30"/>
      <c r="E135" s="30"/>
      <c r="F135" s="37" t="str">
        <f aca="false">IF(A135="","",IF(G135&lt;&gt;"",G135,WORKDAY(A135,-2)))</f>
        <v/>
      </c>
      <c r="G135" s="31"/>
      <c r="H135" s="30"/>
      <c r="I135" s="30"/>
      <c r="J135" s="31"/>
      <c r="K135" s="30"/>
      <c r="L135" s="30"/>
      <c r="M135" s="30"/>
      <c r="N135" s="30"/>
      <c r="O135" s="30"/>
      <c r="P135" s="30"/>
      <c r="Q135" s="30"/>
      <c r="R135" s="30"/>
    </row>
    <row r="136" customFormat="false" ht="33.75" hidden="false" customHeight="true" outlineLevel="0" collapsed="false">
      <c r="A136" s="35"/>
      <c r="B136" s="43"/>
      <c r="C136" s="34"/>
      <c r="D136" s="34"/>
      <c r="E136" s="34"/>
      <c r="F136" s="37" t="str">
        <f aca="false">IF(A136="","",IF(G136&lt;&gt;"",G136,WORKDAY(A136,-2)))</f>
        <v/>
      </c>
      <c r="G136" s="35"/>
      <c r="H136" s="34"/>
      <c r="I136" s="34"/>
      <c r="J136" s="35"/>
      <c r="K136" s="34"/>
      <c r="L136" s="34"/>
      <c r="M136" s="34"/>
      <c r="N136" s="34"/>
      <c r="O136" s="34"/>
      <c r="P136" s="34"/>
      <c r="Q136" s="34"/>
      <c r="R136" s="34"/>
    </row>
    <row r="137" customFormat="false" ht="33.75" hidden="false" customHeight="true" outlineLevel="0" collapsed="false">
      <c r="A137" s="31"/>
      <c r="B137" s="42"/>
      <c r="C137" s="30"/>
      <c r="D137" s="30"/>
      <c r="E137" s="30"/>
      <c r="F137" s="37" t="str">
        <f aca="false">IF(A137="","",IF(G137&lt;&gt;"",G137,WORKDAY(A137,-2)))</f>
        <v/>
      </c>
      <c r="G137" s="31"/>
      <c r="H137" s="30"/>
      <c r="I137" s="30"/>
      <c r="J137" s="31"/>
      <c r="K137" s="30"/>
      <c r="L137" s="30"/>
      <c r="M137" s="30"/>
      <c r="N137" s="30"/>
      <c r="O137" s="30"/>
      <c r="P137" s="30"/>
      <c r="Q137" s="30"/>
      <c r="R137" s="30"/>
    </row>
    <row r="138" customFormat="false" ht="33.75" hidden="false" customHeight="true" outlineLevel="0" collapsed="false">
      <c r="A138" s="35"/>
      <c r="B138" s="43"/>
      <c r="C138" s="34"/>
      <c r="D138" s="34"/>
      <c r="E138" s="34"/>
      <c r="F138" s="37" t="str">
        <f aca="false">IF(A138="","",IF(G138&lt;&gt;"",G138,WORKDAY(A138,-2)))</f>
        <v/>
      </c>
      <c r="G138" s="35"/>
      <c r="H138" s="34"/>
      <c r="I138" s="34"/>
      <c r="J138" s="35"/>
      <c r="K138" s="34"/>
      <c r="L138" s="34"/>
      <c r="M138" s="34"/>
      <c r="N138" s="34"/>
      <c r="O138" s="34"/>
      <c r="P138" s="34"/>
      <c r="Q138" s="34"/>
      <c r="R138" s="34"/>
    </row>
    <row r="139" customFormat="false" ht="33.75" hidden="false" customHeight="true" outlineLevel="0" collapsed="false">
      <c r="A139" s="31"/>
      <c r="B139" s="42"/>
      <c r="C139" s="30"/>
      <c r="D139" s="30"/>
      <c r="E139" s="30"/>
      <c r="F139" s="37" t="str">
        <f aca="false">IF(A139="","",IF(G139&lt;&gt;"",G139,WORKDAY(A139,-2)))</f>
        <v/>
      </c>
      <c r="G139" s="31"/>
      <c r="H139" s="30"/>
      <c r="I139" s="30"/>
      <c r="J139" s="31"/>
      <c r="K139" s="30"/>
      <c r="L139" s="30"/>
      <c r="M139" s="30"/>
      <c r="N139" s="30"/>
      <c r="O139" s="30"/>
      <c r="P139" s="30"/>
      <c r="Q139" s="30"/>
      <c r="R139" s="30"/>
    </row>
    <row r="140" customFormat="false" ht="33.75" hidden="false" customHeight="true" outlineLevel="0" collapsed="false">
      <c r="A140" s="35"/>
      <c r="B140" s="43"/>
      <c r="C140" s="34"/>
      <c r="D140" s="34"/>
      <c r="E140" s="34"/>
      <c r="F140" s="37" t="str">
        <f aca="false">IF(A140="","",IF(G140&lt;&gt;"",G140,WORKDAY(A140,-2)))</f>
        <v/>
      </c>
      <c r="G140" s="35"/>
      <c r="H140" s="34"/>
      <c r="I140" s="34"/>
      <c r="J140" s="35"/>
      <c r="K140" s="34"/>
      <c r="L140" s="34"/>
      <c r="M140" s="34"/>
      <c r="N140" s="34"/>
      <c r="O140" s="34"/>
      <c r="P140" s="34"/>
      <c r="Q140" s="34"/>
      <c r="R140" s="34"/>
    </row>
    <row r="141" customFormat="false" ht="33.75" hidden="false" customHeight="true" outlineLevel="0" collapsed="false">
      <c r="A141" s="31"/>
      <c r="B141" s="42"/>
      <c r="C141" s="30"/>
      <c r="D141" s="30"/>
      <c r="E141" s="30"/>
      <c r="F141" s="37" t="str">
        <f aca="false">IF(A141="","",IF(G141&lt;&gt;"",G141,WORKDAY(A141,-2)))</f>
        <v/>
      </c>
      <c r="G141" s="31"/>
      <c r="H141" s="30"/>
      <c r="I141" s="30"/>
      <c r="J141" s="31"/>
      <c r="K141" s="30"/>
      <c r="L141" s="30"/>
      <c r="M141" s="30"/>
      <c r="N141" s="30"/>
      <c r="O141" s="30"/>
      <c r="P141" s="30"/>
      <c r="Q141" s="30"/>
      <c r="R141" s="30"/>
    </row>
    <row r="142" customFormat="false" ht="33.75" hidden="false" customHeight="true" outlineLevel="0" collapsed="false">
      <c r="A142" s="35"/>
      <c r="B142" s="43"/>
      <c r="C142" s="34"/>
      <c r="D142" s="34"/>
      <c r="E142" s="34"/>
      <c r="F142" s="37" t="str">
        <f aca="false">IF(A142="","",IF(G142&lt;&gt;"",G142,WORKDAY(A142,-2)))</f>
        <v/>
      </c>
      <c r="G142" s="35"/>
      <c r="H142" s="34"/>
      <c r="I142" s="34"/>
      <c r="J142" s="35"/>
      <c r="K142" s="34"/>
      <c r="L142" s="34"/>
      <c r="M142" s="34"/>
      <c r="N142" s="34"/>
      <c r="O142" s="34"/>
      <c r="P142" s="34"/>
      <c r="Q142" s="34"/>
      <c r="R142" s="34"/>
    </row>
    <row r="143" customFormat="false" ht="33.75" hidden="false" customHeight="true" outlineLevel="0" collapsed="false">
      <c r="A143" s="31"/>
      <c r="B143" s="42"/>
      <c r="C143" s="30"/>
      <c r="D143" s="30"/>
      <c r="E143" s="30"/>
      <c r="F143" s="37" t="str">
        <f aca="false">IF(A143="","",IF(G143&lt;&gt;"",G143,WORKDAY(A143,-2)))</f>
        <v/>
      </c>
      <c r="G143" s="31"/>
      <c r="H143" s="30"/>
      <c r="I143" s="30"/>
      <c r="J143" s="31"/>
      <c r="K143" s="30"/>
      <c r="L143" s="30"/>
      <c r="M143" s="30"/>
      <c r="N143" s="30"/>
      <c r="O143" s="30"/>
      <c r="P143" s="30"/>
      <c r="Q143" s="30"/>
      <c r="R143" s="30"/>
    </row>
    <row r="144" customFormat="false" ht="33.75" hidden="false" customHeight="true" outlineLevel="0" collapsed="false">
      <c r="A144" s="35"/>
      <c r="B144" s="43"/>
      <c r="C144" s="34"/>
      <c r="D144" s="34"/>
      <c r="E144" s="34"/>
      <c r="F144" s="37" t="str">
        <f aca="false">IF(A144="","",IF(G144&lt;&gt;"",G144,WORKDAY(A144,-2)))</f>
        <v/>
      </c>
      <c r="G144" s="35"/>
      <c r="H144" s="34"/>
      <c r="I144" s="34"/>
      <c r="J144" s="35"/>
      <c r="K144" s="34"/>
      <c r="L144" s="34"/>
      <c r="M144" s="34"/>
      <c r="N144" s="34"/>
      <c r="O144" s="34"/>
      <c r="P144" s="34"/>
      <c r="Q144" s="34"/>
      <c r="R144" s="34"/>
    </row>
    <row r="145" customFormat="false" ht="33.75" hidden="false" customHeight="true" outlineLevel="0" collapsed="false">
      <c r="A145" s="31"/>
      <c r="B145" s="42"/>
      <c r="C145" s="30"/>
      <c r="D145" s="30"/>
      <c r="E145" s="30"/>
      <c r="F145" s="37" t="str">
        <f aca="false">IF(A145="","",IF(G145&lt;&gt;"",G145,WORKDAY(A145,-2)))</f>
        <v/>
      </c>
      <c r="G145" s="31"/>
      <c r="H145" s="30"/>
      <c r="I145" s="30"/>
      <c r="J145" s="31"/>
      <c r="K145" s="30"/>
      <c r="L145" s="30"/>
      <c r="M145" s="30"/>
      <c r="N145" s="30"/>
      <c r="O145" s="30"/>
      <c r="P145" s="30"/>
      <c r="Q145" s="30"/>
      <c r="R145" s="30"/>
    </row>
    <row r="146" customFormat="false" ht="33.75" hidden="false" customHeight="true" outlineLevel="0" collapsed="false">
      <c r="A146" s="35"/>
      <c r="B146" s="43"/>
      <c r="C146" s="34"/>
      <c r="D146" s="34"/>
      <c r="E146" s="34"/>
      <c r="F146" s="37" t="str">
        <f aca="false">IF(A146="","",IF(G146&lt;&gt;"",G146,WORKDAY(A146,-2)))</f>
        <v/>
      </c>
      <c r="G146" s="35"/>
      <c r="H146" s="34"/>
      <c r="I146" s="34"/>
      <c r="J146" s="35"/>
      <c r="K146" s="34"/>
      <c r="L146" s="34"/>
      <c r="M146" s="34"/>
      <c r="N146" s="34"/>
      <c r="O146" s="34"/>
      <c r="P146" s="34"/>
      <c r="Q146" s="34"/>
      <c r="R146" s="34"/>
    </row>
    <row r="147" customFormat="false" ht="33.75" hidden="false" customHeight="true" outlineLevel="0" collapsed="false">
      <c r="A147" s="31"/>
      <c r="B147" s="42"/>
      <c r="C147" s="30"/>
      <c r="D147" s="30"/>
      <c r="E147" s="30"/>
      <c r="F147" s="37" t="str">
        <f aca="false">IF(A147="","",IF(G147&lt;&gt;"",G147,WORKDAY(A147,-2)))</f>
        <v/>
      </c>
      <c r="G147" s="31"/>
      <c r="H147" s="30"/>
      <c r="I147" s="30"/>
      <c r="J147" s="31"/>
      <c r="K147" s="30"/>
      <c r="L147" s="30"/>
      <c r="M147" s="30"/>
      <c r="N147" s="30"/>
      <c r="O147" s="30"/>
      <c r="P147" s="30"/>
      <c r="Q147" s="30"/>
      <c r="R147" s="30"/>
    </row>
    <row r="148" customFormat="false" ht="33.75" hidden="false" customHeight="true" outlineLevel="0" collapsed="false">
      <c r="A148" s="35"/>
      <c r="B148" s="43"/>
      <c r="C148" s="34"/>
      <c r="D148" s="34"/>
      <c r="E148" s="34"/>
      <c r="F148" s="37" t="str">
        <f aca="false">IF(A148="","",IF(G148&lt;&gt;"",G148,WORKDAY(A148,-2)))</f>
        <v/>
      </c>
      <c r="G148" s="35"/>
      <c r="H148" s="34"/>
      <c r="I148" s="34"/>
      <c r="J148" s="35"/>
      <c r="K148" s="34"/>
      <c r="L148" s="34"/>
      <c r="M148" s="34"/>
      <c r="N148" s="34"/>
      <c r="O148" s="34"/>
      <c r="P148" s="34"/>
      <c r="Q148" s="34"/>
      <c r="R148" s="34"/>
    </row>
    <row r="149" customFormat="false" ht="33.75" hidden="false" customHeight="true" outlineLevel="0" collapsed="false">
      <c r="A149" s="31"/>
      <c r="B149" s="42"/>
      <c r="C149" s="30"/>
      <c r="D149" s="30"/>
      <c r="E149" s="30"/>
      <c r="F149" s="37" t="str">
        <f aca="false">IF(A149="","",IF(G149&lt;&gt;"",G149,WORKDAY(A149,-2)))</f>
        <v/>
      </c>
      <c r="G149" s="31"/>
      <c r="H149" s="30"/>
      <c r="I149" s="30"/>
      <c r="J149" s="31"/>
      <c r="K149" s="30"/>
      <c r="L149" s="30"/>
      <c r="M149" s="30"/>
      <c r="N149" s="30"/>
      <c r="O149" s="30"/>
      <c r="P149" s="30"/>
      <c r="Q149" s="30"/>
      <c r="R149" s="30"/>
    </row>
    <row r="150" customFormat="false" ht="33.75" hidden="false" customHeight="true" outlineLevel="0" collapsed="false">
      <c r="A150" s="35"/>
      <c r="B150" s="43"/>
      <c r="C150" s="34"/>
      <c r="D150" s="34"/>
      <c r="E150" s="34"/>
      <c r="F150" s="37" t="str">
        <f aca="false">IF(A150="","",IF(G150&lt;&gt;"",G150,WORKDAY(A150,-2)))</f>
        <v/>
      </c>
      <c r="G150" s="35"/>
      <c r="H150" s="34"/>
      <c r="I150" s="34"/>
      <c r="J150" s="35"/>
      <c r="K150" s="34"/>
      <c r="L150" s="34"/>
      <c r="M150" s="34"/>
      <c r="N150" s="34"/>
      <c r="O150" s="34"/>
      <c r="P150" s="34"/>
      <c r="Q150" s="34"/>
      <c r="R150" s="34"/>
    </row>
    <row r="151" customFormat="false" ht="33.75" hidden="false" customHeight="true" outlineLevel="0" collapsed="false">
      <c r="A151" s="31"/>
      <c r="B151" s="42"/>
      <c r="C151" s="30"/>
      <c r="D151" s="30"/>
      <c r="E151" s="30"/>
      <c r="F151" s="37" t="str">
        <f aca="false">IF(A151="","",IF(G151&lt;&gt;"",G151,WORKDAY(A151,-2)))</f>
        <v/>
      </c>
      <c r="G151" s="31"/>
      <c r="H151" s="30"/>
      <c r="I151" s="30"/>
      <c r="J151" s="31"/>
      <c r="K151" s="30"/>
      <c r="L151" s="30"/>
      <c r="M151" s="30"/>
      <c r="N151" s="30"/>
      <c r="O151" s="30"/>
      <c r="P151" s="30"/>
      <c r="Q151" s="30"/>
      <c r="R151" s="30"/>
    </row>
    <row r="152" customFormat="false" ht="33.75" hidden="false" customHeight="true" outlineLevel="0" collapsed="false">
      <c r="A152" s="35"/>
      <c r="B152" s="43"/>
      <c r="C152" s="34"/>
      <c r="D152" s="34"/>
      <c r="E152" s="34"/>
      <c r="F152" s="37" t="str">
        <f aca="false">IF(A152="","",IF(G152&lt;&gt;"",G152,WORKDAY(A152,-2)))</f>
        <v/>
      </c>
      <c r="G152" s="35"/>
      <c r="H152" s="34"/>
      <c r="I152" s="34"/>
      <c r="J152" s="35"/>
      <c r="K152" s="34"/>
      <c r="L152" s="34"/>
      <c r="M152" s="34"/>
      <c r="N152" s="34"/>
      <c r="O152" s="34"/>
      <c r="P152" s="34"/>
      <c r="Q152" s="34"/>
      <c r="R152" s="34"/>
    </row>
    <row r="153" customFormat="false" ht="33.75" hidden="false" customHeight="true" outlineLevel="0" collapsed="false">
      <c r="A153" s="31"/>
      <c r="B153" s="42"/>
      <c r="C153" s="30"/>
      <c r="D153" s="30"/>
      <c r="E153" s="30"/>
      <c r="F153" s="37" t="str">
        <f aca="false">IF(A153="","",IF(G153&lt;&gt;"",G153,WORKDAY(A153,-2)))</f>
        <v/>
      </c>
      <c r="G153" s="31"/>
      <c r="H153" s="30"/>
      <c r="I153" s="30"/>
      <c r="J153" s="31"/>
      <c r="K153" s="30"/>
      <c r="L153" s="30"/>
      <c r="M153" s="30"/>
      <c r="N153" s="30"/>
      <c r="O153" s="30"/>
      <c r="P153" s="30"/>
      <c r="Q153" s="30"/>
      <c r="R153" s="30"/>
    </row>
    <row r="154" customFormat="false" ht="33.75" hidden="false" customHeight="true" outlineLevel="0" collapsed="false">
      <c r="A154" s="35"/>
      <c r="B154" s="43"/>
      <c r="C154" s="34"/>
      <c r="D154" s="34"/>
      <c r="E154" s="34"/>
      <c r="F154" s="37" t="str">
        <f aca="false">IF(A154="","",IF(G154&lt;&gt;"",G154,WORKDAY(A154,-2)))</f>
        <v/>
      </c>
      <c r="G154" s="35"/>
      <c r="H154" s="34"/>
      <c r="I154" s="34"/>
      <c r="J154" s="35"/>
      <c r="K154" s="34"/>
      <c r="L154" s="34"/>
      <c r="M154" s="34"/>
      <c r="N154" s="34"/>
      <c r="O154" s="34"/>
      <c r="P154" s="34"/>
      <c r="Q154" s="34"/>
      <c r="R154" s="34"/>
    </row>
    <row r="155" customFormat="false" ht="33.75" hidden="false" customHeight="true" outlineLevel="0" collapsed="false">
      <c r="A155" s="31"/>
      <c r="B155" s="42"/>
      <c r="C155" s="30"/>
      <c r="D155" s="30"/>
      <c r="E155" s="30"/>
      <c r="F155" s="37" t="str">
        <f aca="false">IF(A155="","",IF(G155&lt;&gt;"",G155,WORKDAY(A155,-2)))</f>
        <v/>
      </c>
      <c r="G155" s="31"/>
      <c r="H155" s="30"/>
      <c r="I155" s="30"/>
      <c r="J155" s="31"/>
      <c r="K155" s="30"/>
      <c r="L155" s="30"/>
      <c r="M155" s="30"/>
      <c r="N155" s="30"/>
      <c r="O155" s="30"/>
      <c r="P155" s="30"/>
      <c r="Q155" s="30"/>
      <c r="R155" s="30"/>
    </row>
    <row r="156" customFormat="false" ht="33.75" hidden="false" customHeight="true" outlineLevel="0" collapsed="false">
      <c r="A156" s="35"/>
      <c r="B156" s="43"/>
      <c r="C156" s="34"/>
      <c r="D156" s="34"/>
      <c r="E156" s="34"/>
      <c r="F156" s="37" t="str">
        <f aca="false">IF(A156="","",IF(G156&lt;&gt;"",G156,WORKDAY(A156,-2)))</f>
        <v/>
      </c>
      <c r="G156" s="35"/>
      <c r="H156" s="34"/>
      <c r="I156" s="34"/>
      <c r="J156" s="35"/>
      <c r="K156" s="34"/>
      <c r="L156" s="34"/>
      <c r="M156" s="34"/>
      <c r="N156" s="34"/>
      <c r="O156" s="34"/>
      <c r="P156" s="34"/>
      <c r="Q156" s="34"/>
      <c r="R156" s="34"/>
    </row>
    <row r="157" customFormat="false" ht="33.75" hidden="false" customHeight="true" outlineLevel="0" collapsed="false">
      <c r="A157" s="31"/>
      <c r="B157" s="42"/>
      <c r="C157" s="30"/>
      <c r="D157" s="30"/>
      <c r="E157" s="30"/>
      <c r="F157" s="37" t="str">
        <f aca="false">IF(A157="","",IF(G157&lt;&gt;"",G157,WORKDAY(A157,-2)))</f>
        <v/>
      </c>
      <c r="G157" s="31"/>
      <c r="H157" s="30"/>
      <c r="I157" s="30"/>
      <c r="J157" s="31"/>
      <c r="K157" s="30"/>
      <c r="L157" s="30"/>
      <c r="M157" s="30"/>
      <c r="N157" s="30"/>
      <c r="O157" s="30"/>
      <c r="P157" s="30"/>
      <c r="Q157" s="30"/>
      <c r="R157" s="30"/>
    </row>
    <row r="158" customFormat="false" ht="33.75" hidden="false" customHeight="true" outlineLevel="0" collapsed="false">
      <c r="A158" s="35"/>
      <c r="B158" s="43"/>
      <c r="C158" s="34"/>
      <c r="D158" s="34"/>
      <c r="E158" s="34"/>
      <c r="F158" s="37" t="str">
        <f aca="false">IF(A158="","",IF(G158&lt;&gt;"",G158,WORKDAY(A158,-2)))</f>
        <v/>
      </c>
      <c r="G158" s="35"/>
      <c r="H158" s="34"/>
      <c r="I158" s="34"/>
      <c r="J158" s="35"/>
      <c r="K158" s="34"/>
      <c r="L158" s="34"/>
      <c r="M158" s="34"/>
      <c r="N158" s="34"/>
      <c r="O158" s="34"/>
      <c r="P158" s="34"/>
      <c r="Q158" s="34"/>
      <c r="R158" s="34"/>
    </row>
    <row r="159" customFormat="false" ht="33.75" hidden="false" customHeight="true" outlineLevel="0" collapsed="false">
      <c r="A159" s="31"/>
      <c r="B159" s="42"/>
      <c r="C159" s="30"/>
      <c r="D159" s="30"/>
      <c r="E159" s="30"/>
      <c r="F159" s="37" t="str">
        <f aca="false">IF(A159="","",IF(G159&lt;&gt;"",G159,WORKDAY(A159,-2)))</f>
        <v/>
      </c>
      <c r="G159" s="31"/>
      <c r="H159" s="30"/>
      <c r="I159" s="30"/>
      <c r="J159" s="31"/>
      <c r="K159" s="30"/>
      <c r="L159" s="30"/>
      <c r="M159" s="30"/>
      <c r="N159" s="30"/>
      <c r="O159" s="30"/>
      <c r="P159" s="30"/>
      <c r="Q159" s="30"/>
      <c r="R159" s="30"/>
    </row>
    <row r="160" customFormat="false" ht="33.75" hidden="false" customHeight="true" outlineLevel="0" collapsed="false">
      <c r="A160" s="35"/>
      <c r="B160" s="43"/>
      <c r="C160" s="34"/>
      <c r="D160" s="34"/>
      <c r="E160" s="34"/>
      <c r="F160" s="37" t="str">
        <f aca="false">IF(A160="","",IF(G160&lt;&gt;"",G160,WORKDAY(A160,-2)))</f>
        <v/>
      </c>
      <c r="G160" s="35"/>
      <c r="H160" s="34"/>
      <c r="I160" s="34"/>
      <c r="J160" s="35"/>
      <c r="K160" s="34"/>
      <c r="L160" s="34"/>
      <c r="M160" s="34"/>
      <c r="N160" s="34"/>
      <c r="O160" s="34"/>
      <c r="P160" s="34"/>
      <c r="Q160" s="34"/>
      <c r="R160" s="34"/>
    </row>
    <row r="161" customFormat="false" ht="33.75" hidden="false" customHeight="true" outlineLevel="0" collapsed="false">
      <c r="A161" s="31"/>
      <c r="B161" s="42"/>
      <c r="C161" s="30"/>
      <c r="D161" s="30"/>
      <c r="E161" s="30"/>
      <c r="F161" s="37" t="str">
        <f aca="false">IF(A161="","",IF(G161&lt;&gt;"",G161,WORKDAY(A161,-2)))</f>
        <v/>
      </c>
      <c r="G161" s="31"/>
      <c r="H161" s="30"/>
      <c r="I161" s="30"/>
      <c r="J161" s="31"/>
      <c r="K161" s="30"/>
      <c r="L161" s="30"/>
      <c r="M161" s="30"/>
      <c r="N161" s="30"/>
      <c r="O161" s="30"/>
      <c r="P161" s="30"/>
      <c r="Q161" s="30"/>
      <c r="R161" s="30"/>
    </row>
    <row r="162" customFormat="false" ht="33.75" hidden="false" customHeight="true" outlineLevel="0" collapsed="false">
      <c r="A162" s="35"/>
      <c r="B162" s="43"/>
      <c r="C162" s="34"/>
      <c r="D162" s="34"/>
      <c r="E162" s="34"/>
      <c r="F162" s="37" t="str">
        <f aca="false">IF(A162="","",IF(G162&lt;&gt;"",G162,WORKDAY(A162,-2)))</f>
        <v/>
      </c>
      <c r="G162" s="35"/>
      <c r="H162" s="34"/>
      <c r="I162" s="34"/>
      <c r="J162" s="35"/>
      <c r="K162" s="34"/>
      <c r="L162" s="34"/>
      <c r="M162" s="34"/>
      <c r="N162" s="34"/>
      <c r="O162" s="34"/>
      <c r="P162" s="34"/>
      <c r="Q162" s="34"/>
      <c r="R162" s="34"/>
    </row>
    <row r="163" customFormat="false" ht="33.75" hidden="false" customHeight="true" outlineLevel="0" collapsed="false">
      <c r="A163" s="31"/>
      <c r="B163" s="42"/>
      <c r="C163" s="30"/>
      <c r="D163" s="30"/>
      <c r="E163" s="30"/>
      <c r="F163" s="37" t="str">
        <f aca="false">IF(A163="","",IF(G163&lt;&gt;"",G163,WORKDAY(A163,-2)))</f>
        <v/>
      </c>
      <c r="G163" s="31"/>
      <c r="H163" s="30"/>
      <c r="I163" s="30"/>
      <c r="J163" s="31"/>
      <c r="K163" s="30"/>
      <c r="L163" s="30"/>
      <c r="M163" s="30"/>
      <c r="N163" s="30"/>
      <c r="O163" s="30"/>
      <c r="P163" s="30"/>
      <c r="Q163" s="30"/>
      <c r="R163" s="30"/>
    </row>
    <row r="164" customFormat="false" ht="33.75" hidden="false" customHeight="true" outlineLevel="0" collapsed="false">
      <c r="A164" s="35"/>
      <c r="B164" s="43"/>
      <c r="C164" s="34"/>
      <c r="D164" s="34"/>
      <c r="E164" s="34"/>
      <c r="F164" s="37" t="str">
        <f aca="false">IF(A164="","",IF(G164&lt;&gt;"",G164,WORKDAY(A164,-2)))</f>
        <v/>
      </c>
      <c r="G164" s="35"/>
      <c r="H164" s="34"/>
      <c r="I164" s="34"/>
      <c r="J164" s="35"/>
      <c r="K164" s="34"/>
      <c r="L164" s="34"/>
      <c r="M164" s="34"/>
      <c r="N164" s="34"/>
      <c r="O164" s="34"/>
      <c r="P164" s="34"/>
      <c r="Q164" s="34"/>
      <c r="R164" s="34"/>
    </row>
    <row r="165" customFormat="false" ht="33.75" hidden="false" customHeight="true" outlineLevel="0" collapsed="false">
      <c r="A165" s="31"/>
      <c r="B165" s="42"/>
      <c r="C165" s="30"/>
      <c r="D165" s="30"/>
      <c r="E165" s="30"/>
      <c r="F165" s="37" t="str">
        <f aca="false">IF(A165="","",IF(G165&lt;&gt;"",G165,WORKDAY(A165,-2)))</f>
        <v/>
      </c>
      <c r="G165" s="31"/>
      <c r="H165" s="30"/>
      <c r="I165" s="30"/>
      <c r="J165" s="31"/>
      <c r="K165" s="30"/>
      <c r="L165" s="30"/>
      <c r="M165" s="30"/>
      <c r="N165" s="30"/>
      <c r="O165" s="30"/>
      <c r="P165" s="30"/>
      <c r="Q165" s="30"/>
      <c r="R165" s="30"/>
    </row>
    <row r="166" customFormat="false" ht="33.75" hidden="false" customHeight="true" outlineLevel="0" collapsed="false">
      <c r="A166" s="35"/>
      <c r="B166" s="43"/>
      <c r="C166" s="34"/>
      <c r="D166" s="34"/>
      <c r="E166" s="34"/>
      <c r="F166" s="37" t="str">
        <f aca="false">IF(A166="","",IF(G166&lt;&gt;"",G166,WORKDAY(A166,-2)))</f>
        <v/>
      </c>
      <c r="G166" s="35"/>
      <c r="H166" s="34"/>
      <c r="I166" s="34"/>
      <c r="J166" s="35"/>
      <c r="K166" s="34"/>
      <c r="L166" s="34"/>
      <c r="M166" s="34"/>
      <c r="N166" s="34"/>
      <c r="O166" s="34"/>
      <c r="P166" s="34"/>
      <c r="Q166" s="34"/>
      <c r="R166" s="34"/>
    </row>
    <row r="167" customFormat="false" ht="33.75" hidden="false" customHeight="true" outlineLevel="0" collapsed="false">
      <c r="A167" s="31"/>
      <c r="B167" s="42"/>
      <c r="C167" s="30"/>
      <c r="D167" s="30"/>
      <c r="E167" s="30"/>
      <c r="F167" s="37" t="str">
        <f aca="false">IF(A167="","",IF(G167&lt;&gt;"",G167,WORKDAY(A167,-2)))</f>
        <v/>
      </c>
      <c r="G167" s="31"/>
      <c r="H167" s="30"/>
      <c r="I167" s="30"/>
      <c r="J167" s="31"/>
      <c r="K167" s="30"/>
      <c r="L167" s="30"/>
      <c r="M167" s="30"/>
      <c r="N167" s="30"/>
      <c r="O167" s="30"/>
      <c r="P167" s="30"/>
      <c r="Q167" s="30"/>
      <c r="R167" s="30"/>
    </row>
    <row r="168" customFormat="false" ht="33.75" hidden="false" customHeight="true" outlineLevel="0" collapsed="false">
      <c r="A168" s="35"/>
      <c r="B168" s="43"/>
      <c r="C168" s="34"/>
      <c r="D168" s="34"/>
      <c r="E168" s="34"/>
      <c r="F168" s="37" t="str">
        <f aca="false">IF(A168="","",IF(G168&lt;&gt;"",G168,WORKDAY(A168,-2)))</f>
        <v/>
      </c>
      <c r="G168" s="35"/>
      <c r="H168" s="34"/>
      <c r="I168" s="34"/>
      <c r="J168" s="35"/>
      <c r="K168" s="34"/>
      <c r="L168" s="34"/>
      <c r="M168" s="34"/>
      <c r="N168" s="34"/>
      <c r="O168" s="34"/>
      <c r="P168" s="34"/>
      <c r="Q168" s="34"/>
      <c r="R168" s="34"/>
    </row>
    <row r="169" customFormat="false" ht="33.75" hidden="false" customHeight="true" outlineLevel="0" collapsed="false">
      <c r="A169" s="31"/>
      <c r="B169" s="42"/>
      <c r="C169" s="30"/>
      <c r="D169" s="30"/>
      <c r="E169" s="30"/>
      <c r="F169" s="37" t="str">
        <f aca="false">IF(A169="","",IF(G169&lt;&gt;"",G169,WORKDAY(A169,-2)))</f>
        <v/>
      </c>
      <c r="G169" s="31"/>
      <c r="H169" s="30"/>
      <c r="I169" s="30"/>
      <c r="J169" s="31"/>
      <c r="K169" s="30"/>
      <c r="L169" s="30"/>
      <c r="M169" s="30"/>
      <c r="N169" s="30"/>
      <c r="O169" s="30"/>
      <c r="P169" s="30"/>
      <c r="Q169" s="30"/>
      <c r="R169" s="30"/>
    </row>
    <row r="170" customFormat="false" ht="33.75" hidden="false" customHeight="true" outlineLevel="0" collapsed="false">
      <c r="A170" s="35"/>
      <c r="B170" s="43"/>
      <c r="C170" s="34"/>
      <c r="D170" s="34"/>
      <c r="E170" s="34"/>
      <c r="F170" s="37" t="str">
        <f aca="false">IF(A170="","",IF(G170&lt;&gt;"",G170,WORKDAY(A170,-2)))</f>
        <v/>
      </c>
      <c r="G170" s="35"/>
      <c r="H170" s="34"/>
      <c r="I170" s="34"/>
      <c r="J170" s="35"/>
      <c r="K170" s="34"/>
      <c r="L170" s="34"/>
      <c r="M170" s="34"/>
      <c r="N170" s="34"/>
      <c r="O170" s="34"/>
      <c r="P170" s="34"/>
      <c r="Q170" s="34"/>
      <c r="R170" s="34"/>
    </row>
    <row r="171" customFormat="false" ht="33.75" hidden="false" customHeight="true" outlineLevel="0" collapsed="false">
      <c r="A171" s="31"/>
      <c r="B171" s="42"/>
      <c r="C171" s="30"/>
      <c r="D171" s="30"/>
      <c r="E171" s="30"/>
      <c r="F171" s="37" t="str">
        <f aca="false">IF(A171="","",IF(G171&lt;&gt;"",G171,WORKDAY(A171,-2)))</f>
        <v/>
      </c>
      <c r="G171" s="31"/>
      <c r="H171" s="30"/>
      <c r="I171" s="30"/>
      <c r="J171" s="31"/>
      <c r="K171" s="30"/>
      <c r="L171" s="30"/>
      <c r="M171" s="30"/>
      <c r="N171" s="30"/>
      <c r="O171" s="30"/>
      <c r="P171" s="30"/>
      <c r="Q171" s="30"/>
      <c r="R171" s="30"/>
    </row>
    <row r="172" customFormat="false" ht="33.75" hidden="false" customHeight="true" outlineLevel="0" collapsed="false">
      <c r="A172" s="35"/>
      <c r="B172" s="43"/>
      <c r="C172" s="34"/>
      <c r="D172" s="34"/>
      <c r="E172" s="34"/>
      <c r="F172" s="37" t="str">
        <f aca="false">IF(A172="","",IF(G172&lt;&gt;"",G172,WORKDAY(A172,-2)))</f>
        <v/>
      </c>
      <c r="G172" s="35"/>
      <c r="H172" s="34"/>
      <c r="I172" s="34"/>
      <c r="J172" s="35"/>
      <c r="K172" s="34"/>
      <c r="L172" s="34"/>
      <c r="M172" s="34"/>
      <c r="N172" s="34"/>
      <c r="O172" s="34"/>
      <c r="P172" s="34"/>
      <c r="Q172" s="34"/>
      <c r="R172" s="34"/>
    </row>
    <row r="173" customFormat="false" ht="33.75" hidden="false" customHeight="true" outlineLevel="0" collapsed="false">
      <c r="A173" s="31"/>
      <c r="B173" s="42"/>
      <c r="C173" s="30"/>
      <c r="D173" s="30"/>
      <c r="E173" s="30"/>
      <c r="F173" s="37" t="str">
        <f aca="false">IF(A173="","",IF(G173&lt;&gt;"",G173,WORKDAY(A173,-2)))</f>
        <v/>
      </c>
      <c r="G173" s="31"/>
      <c r="H173" s="30"/>
      <c r="I173" s="30"/>
      <c r="J173" s="31"/>
      <c r="K173" s="30"/>
      <c r="L173" s="30"/>
      <c r="M173" s="30"/>
      <c r="N173" s="30"/>
      <c r="O173" s="30"/>
      <c r="P173" s="30"/>
      <c r="Q173" s="30"/>
      <c r="R173" s="30"/>
    </row>
    <row r="174" customFormat="false" ht="33.75" hidden="false" customHeight="true" outlineLevel="0" collapsed="false">
      <c r="A174" s="35"/>
      <c r="B174" s="43"/>
      <c r="C174" s="34"/>
      <c r="D174" s="34"/>
      <c r="E174" s="34"/>
      <c r="F174" s="37" t="str">
        <f aca="false">IF(A174="","",IF(G174&lt;&gt;"",G174,WORKDAY(A174,-2)))</f>
        <v/>
      </c>
      <c r="G174" s="35"/>
      <c r="H174" s="34"/>
      <c r="I174" s="34"/>
      <c r="J174" s="35"/>
      <c r="K174" s="34"/>
      <c r="L174" s="34"/>
      <c r="M174" s="34"/>
      <c r="N174" s="34"/>
      <c r="O174" s="34"/>
      <c r="P174" s="34"/>
      <c r="Q174" s="34"/>
      <c r="R174" s="34"/>
    </row>
    <row r="175" customFormat="false" ht="33.75" hidden="false" customHeight="true" outlineLevel="0" collapsed="false">
      <c r="A175" s="31"/>
      <c r="B175" s="42"/>
      <c r="C175" s="30"/>
      <c r="D175" s="30"/>
      <c r="E175" s="30"/>
      <c r="F175" s="37" t="str">
        <f aca="false">IF(A175="","",IF(G175&lt;&gt;"",G175,WORKDAY(A175,-2)))</f>
        <v/>
      </c>
      <c r="G175" s="31"/>
      <c r="H175" s="30"/>
      <c r="I175" s="30"/>
      <c r="J175" s="31"/>
      <c r="K175" s="30"/>
      <c r="L175" s="30"/>
      <c r="M175" s="30"/>
      <c r="N175" s="30"/>
      <c r="O175" s="30"/>
      <c r="P175" s="30"/>
      <c r="Q175" s="30"/>
      <c r="R175" s="30"/>
    </row>
    <row r="176" customFormat="false" ht="33.75" hidden="false" customHeight="true" outlineLevel="0" collapsed="false">
      <c r="A176" s="35"/>
      <c r="B176" s="43"/>
      <c r="C176" s="34"/>
      <c r="D176" s="34"/>
      <c r="E176" s="34"/>
      <c r="F176" s="37" t="str">
        <f aca="false">IF(A176="","",IF(G176&lt;&gt;"",G176,WORKDAY(A176,-2)))</f>
        <v/>
      </c>
      <c r="G176" s="35"/>
      <c r="H176" s="34"/>
      <c r="I176" s="34"/>
      <c r="J176" s="35"/>
      <c r="K176" s="34"/>
      <c r="L176" s="34"/>
      <c r="M176" s="34"/>
      <c r="N176" s="34"/>
      <c r="O176" s="34"/>
      <c r="P176" s="34"/>
      <c r="Q176" s="34"/>
      <c r="R176" s="34"/>
    </row>
    <row r="177" customFormat="false" ht="33.75" hidden="false" customHeight="true" outlineLevel="0" collapsed="false">
      <c r="A177" s="31"/>
      <c r="B177" s="42"/>
      <c r="C177" s="30"/>
      <c r="D177" s="30"/>
      <c r="E177" s="30"/>
      <c r="F177" s="37" t="str">
        <f aca="false">IF(A177="","",IF(G177&lt;&gt;"",G177,WORKDAY(A177,-2)))</f>
        <v/>
      </c>
      <c r="G177" s="31"/>
      <c r="H177" s="30"/>
      <c r="I177" s="30"/>
      <c r="J177" s="31"/>
      <c r="K177" s="30"/>
      <c r="L177" s="30"/>
      <c r="M177" s="30"/>
      <c r="N177" s="30"/>
      <c r="O177" s="30"/>
      <c r="P177" s="30"/>
      <c r="Q177" s="30"/>
      <c r="R177" s="30"/>
    </row>
    <row r="178" customFormat="false" ht="33.75" hidden="false" customHeight="true" outlineLevel="0" collapsed="false">
      <c r="A178" s="35"/>
      <c r="B178" s="43"/>
      <c r="C178" s="34"/>
      <c r="D178" s="34"/>
      <c r="E178" s="34"/>
      <c r="F178" s="37" t="str">
        <f aca="false">IF(A178="","",IF(G178&lt;&gt;"",G178,WORKDAY(A178,-2)))</f>
        <v/>
      </c>
      <c r="G178" s="35"/>
      <c r="H178" s="34"/>
      <c r="I178" s="34"/>
      <c r="J178" s="35"/>
      <c r="K178" s="34"/>
      <c r="L178" s="34"/>
      <c r="M178" s="34"/>
      <c r="N178" s="34"/>
      <c r="O178" s="34"/>
      <c r="P178" s="34"/>
      <c r="Q178" s="34"/>
      <c r="R178" s="34"/>
    </row>
    <row r="179" customFormat="false" ht="33.75" hidden="false" customHeight="true" outlineLevel="0" collapsed="false">
      <c r="A179" s="31"/>
      <c r="B179" s="42"/>
      <c r="C179" s="30"/>
      <c r="D179" s="30"/>
      <c r="E179" s="30"/>
      <c r="F179" s="37" t="str">
        <f aca="false">IF(A179="","",IF(G179&lt;&gt;"",G179,WORKDAY(A179,-2)))</f>
        <v/>
      </c>
      <c r="G179" s="31"/>
      <c r="H179" s="30"/>
      <c r="I179" s="30"/>
      <c r="J179" s="31"/>
      <c r="K179" s="30"/>
      <c r="L179" s="30"/>
      <c r="M179" s="30"/>
      <c r="N179" s="30"/>
      <c r="O179" s="30"/>
      <c r="P179" s="30"/>
      <c r="Q179" s="30"/>
      <c r="R179" s="30"/>
    </row>
    <row r="180" customFormat="false" ht="33.75" hidden="false" customHeight="true" outlineLevel="0" collapsed="false">
      <c r="A180" s="35"/>
      <c r="B180" s="43"/>
      <c r="C180" s="34"/>
      <c r="D180" s="34"/>
      <c r="E180" s="34"/>
      <c r="F180" s="37" t="str">
        <f aca="false">IF(A180="","",IF(G180&lt;&gt;"",G180,WORKDAY(A180,-2)))</f>
        <v/>
      </c>
      <c r="G180" s="35"/>
      <c r="H180" s="34"/>
      <c r="I180" s="34"/>
      <c r="J180" s="35"/>
      <c r="K180" s="34"/>
      <c r="L180" s="34"/>
      <c r="M180" s="34"/>
      <c r="N180" s="34"/>
      <c r="O180" s="34"/>
      <c r="P180" s="34"/>
      <c r="Q180" s="34"/>
      <c r="R180" s="34"/>
    </row>
    <row r="181" customFormat="false" ht="33.75" hidden="false" customHeight="true" outlineLevel="0" collapsed="false">
      <c r="A181" s="31"/>
      <c r="B181" s="42"/>
      <c r="C181" s="30"/>
      <c r="D181" s="30"/>
      <c r="E181" s="30"/>
      <c r="F181" s="37" t="str">
        <f aca="false">IF(A181="","",IF(G181&lt;&gt;"",G181,WORKDAY(A181,-2)))</f>
        <v/>
      </c>
      <c r="G181" s="31"/>
      <c r="H181" s="30"/>
      <c r="I181" s="30"/>
      <c r="J181" s="31"/>
      <c r="K181" s="30"/>
      <c r="L181" s="30"/>
      <c r="M181" s="30"/>
      <c r="N181" s="30"/>
      <c r="O181" s="30"/>
      <c r="P181" s="30"/>
      <c r="Q181" s="30"/>
      <c r="R181" s="30"/>
    </row>
    <row r="182" customFormat="false" ht="33.75" hidden="false" customHeight="true" outlineLevel="0" collapsed="false">
      <c r="A182" s="35"/>
      <c r="B182" s="43"/>
      <c r="C182" s="34"/>
      <c r="D182" s="34"/>
      <c r="E182" s="34"/>
      <c r="F182" s="37" t="str">
        <f aca="false">IF(A182="","",IF(G182&lt;&gt;"",G182,WORKDAY(A182,-2)))</f>
        <v/>
      </c>
      <c r="G182" s="35"/>
      <c r="H182" s="34"/>
      <c r="I182" s="34"/>
      <c r="J182" s="35"/>
      <c r="K182" s="34"/>
      <c r="L182" s="34"/>
      <c r="M182" s="34"/>
      <c r="N182" s="34"/>
      <c r="O182" s="34"/>
      <c r="P182" s="34"/>
      <c r="Q182" s="34"/>
      <c r="R182" s="34"/>
    </row>
    <row r="183" customFormat="false" ht="33.75" hidden="false" customHeight="true" outlineLevel="0" collapsed="false">
      <c r="A183" s="31"/>
      <c r="B183" s="42"/>
      <c r="C183" s="30"/>
      <c r="D183" s="30"/>
      <c r="E183" s="30"/>
      <c r="F183" s="37" t="str">
        <f aca="false">IF(A183="","",IF(G183&lt;&gt;"",G183,WORKDAY(A183,-2)))</f>
        <v/>
      </c>
      <c r="G183" s="31"/>
      <c r="H183" s="30"/>
      <c r="I183" s="30"/>
      <c r="J183" s="31"/>
      <c r="K183" s="30"/>
      <c r="L183" s="30"/>
      <c r="M183" s="30"/>
      <c r="N183" s="30"/>
      <c r="O183" s="30"/>
      <c r="P183" s="30"/>
      <c r="Q183" s="30"/>
      <c r="R183" s="30"/>
    </row>
    <row r="184" customFormat="false" ht="33.75" hidden="false" customHeight="true" outlineLevel="0" collapsed="false">
      <c r="A184" s="35"/>
      <c r="B184" s="43"/>
      <c r="C184" s="34"/>
      <c r="D184" s="34"/>
      <c r="E184" s="34"/>
      <c r="F184" s="37" t="str">
        <f aca="false">IF(A184="","",IF(G184&lt;&gt;"",G184,WORKDAY(A184,-2)))</f>
        <v/>
      </c>
      <c r="G184" s="35"/>
      <c r="H184" s="34"/>
      <c r="I184" s="34"/>
      <c r="J184" s="35"/>
      <c r="K184" s="34"/>
      <c r="L184" s="34"/>
      <c r="M184" s="34"/>
      <c r="N184" s="34"/>
      <c r="O184" s="34"/>
      <c r="P184" s="34"/>
      <c r="Q184" s="34"/>
      <c r="R184" s="34"/>
    </row>
    <row r="185" customFormat="false" ht="33.75" hidden="false" customHeight="true" outlineLevel="0" collapsed="false">
      <c r="A185" s="31"/>
      <c r="B185" s="42"/>
      <c r="C185" s="30"/>
      <c r="D185" s="30"/>
      <c r="E185" s="30"/>
      <c r="F185" s="37" t="str">
        <f aca="false">IF(A185="","",IF(G185&lt;&gt;"",G185,WORKDAY(A185,-2)))</f>
        <v/>
      </c>
      <c r="G185" s="31"/>
      <c r="H185" s="30"/>
      <c r="I185" s="30"/>
      <c r="J185" s="31"/>
      <c r="K185" s="30"/>
      <c r="L185" s="30"/>
      <c r="M185" s="30"/>
      <c r="N185" s="30"/>
      <c r="O185" s="30"/>
      <c r="P185" s="30"/>
      <c r="Q185" s="30"/>
      <c r="R185" s="30"/>
    </row>
    <row r="186" customFormat="false" ht="33.75" hidden="false" customHeight="true" outlineLevel="0" collapsed="false">
      <c r="A186" s="35"/>
      <c r="B186" s="43"/>
      <c r="C186" s="34"/>
      <c r="D186" s="34"/>
      <c r="E186" s="34"/>
      <c r="F186" s="37" t="str">
        <f aca="false">IF(A186="","",IF(G186&lt;&gt;"",G186,WORKDAY(A186,-2)))</f>
        <v/>
      </c>
      <c r="G186" s="35"/>
      <c r="H186" s="34"/>
      <c r="I186" s="34"/>
      <c r="J186" s="35"/>
      <c r="K186" s="34"/>
      <c r="L186" s="34"/>
      <c r="M186" s="34"/>
      <c r="N186" s="34"/>
      <c r="O186" s="34"/>
      <c r="P186" s="34"/>
      <c r="Q186" s="34"/>
      <c r="R186" s="34"/>
    </row>
    <row r="187" customFormat="false" ht="33.75" hidden="false" customHeight="true" outlineLevel="0" collapsed="false">
      <c r="A187" s="31"/>
      <c r="B187" s="42"/>
      <c r="C187" s="30"/>
      <c r="D187" s="30"/>
      <c r="E187" s="30"/>
      <c r="F187" s="37" t="str">
        <f aca="false">IF(A187="","",IF(G187&lt;&gt;"",G187,WORKDAY(A187,-2)))</f>
        <v/>
      </c>
      <c r="G187" s="31"/>
      <c r="H187" s="30"/>
      <c r="I187" s="30"/>
      <c r="J187" s="31"/>
      <c r="K187" s="30"/>
      <c r="L187" s="30"/>
      <c r="M187" s="30"/>
      <c r="N187" s="30"/>
      <c r="O187" s="30"/>
      <c r="P187" s="30"/>
      <c r="Q187" s="30"/>
      <c r="R187" s="30"/>
    </row>
    <row r="188" customFormat="false" ht="33.75" hidden="false" customHeight="true" outlineLevel="0" collapsed="false">
      <c r="A188" s="35"/>
      <c r="B188" s="43"/>
      <c r="C188" s="34"/>
      <c r="D188" s="34"/>
      <c r="E188" s="34"/>
      <c r="F188" s="37" t="str">
        <f aca="false">IF(A188="","",IF(G188&lt;&gt;"",G188,WORKDAY(A188,-2)))</f>
        <v/>
      </c>
      <c r="G188" s="35"/>
      <c r="H188" s="34"/>
      <c r="I188" s="34"/>
      <c r="J188" s="35"/>
      <c r="K188" s="34"/>
      <c r="L188" s="34"/>
      <c r="M188" s="34"/>
      <c r="N188" s="34"/>
      <c r="O188" s="34"/>
      <c r="P188" s="34"/>
      <c r="Q188" s="34"/>
      <c r="R188" s="34"/>
    </row>
    <row r="189" customFormat="false" ht="33.75" hidden="false" customHeight="true" outlineLevel="0" collapsed="false">
      <c r="A189" s="31"/>
      <c r="B189" s="42"/>
      <c r="C189" s="30"/>
      <c r="D189" s="30"/>
      <c r="E189" s="30"/>
      <c r="F189" s="37" t="str">
        <f aca="false">IF(A189="","",IF(G189&lt;&gt;"",G189,WORKDAY(A189,-2)))</f>
        <v/>
      </c>
      <c r="G189" s="31"/>
      <c r="H189" s="30"/>
      <c r="I189" s="30"/>
      <c r="J189" s="31"/>
      <c r="K189" s="30"/>
      <c r="L189" s="30"/>
      <c r="M189" s="30"/>
      <c r="N189" s="30"/>
      <c r="O189" s="30"/>
      <c r="P189" s="30"/>
      <c r="Q189" s="30"/>
      <c r="R189" s="30"/>
    </row>
    <row r="190" customFormat="false" ht="33.75" hidden="false" customHeight="true" outlineLevel="0" collapsed="false">
      <c r="A190" s="35"/>
      <c r="B190" s="43"/>
      <c r="C190" s="34"/>
      <c r="D190" s="34"/>
      <c r="E190" s="34"/>
      <c r="F190" s="37" t="str">
        <f aca="false">IF(A190="","",IF(G190&lt;&gt;"",G190,WORKDAY(A190,-2)))</f>
        <v/>
      </c>
      <c r="G190" s="35"/>
      <c r="H190" s="34"/>
      <c r="I190" s="34"/>
      <c r="J190" s="35"/>
      <c r="K190" s="34"/>
      <c r="L190" s="34"/>
      <c r="M190" s="34"/>
      <c r="N190" s="34"/>
      <c r="O190" s="34"/>
      <c r="P190" s="34"/>
      <c r="Q190" s="34"/>
      <c r="R190" s="34"/>
    </row>
    <row r="191" customFormat="false" ht="33.75" hidden="false" customHeight="true" outlineLevel="0" collapsed="false">
      <c r="A191" s="31"/>
      <c r="B191" s="42"/>
      <c r="C191" s="30"/>
      <c r="D191" s="30"/>
      <c r="E191" s="30"/>
      <c r="F191" s="37" t="str">
        <f aca="false">IF(A191="","",IF(G191&lt;&gt;"",G191,WORKDAY(A191,-2)))</f>
        <v/>
      </c>
      <c r="G191" s="31"/>
      <c r="H191" s="30"/>
      <c r="I191" s="30"/>
      <c r="J191" s="31"/>
      <c r="K191" s="30"/>
      <c r="L191" s="30"/>
      <c r="M191" s="30"/>
      <c r="N191" s="30"/>
      <c r="O191" s="30"/>
      <c r="P191" s="30"/>
      <c r="Q191" s="30"/>
      <c r="R191" s="30"/>
    </row>
    <row r="192" customFormat="false" ht="33.75" hidden="false" customHeight="true" outlineLevel="0" collapsed="false">
      <c r="A192" s="35"/>
      <c r="B192" s="43"/>
      <c r="C192" s="34"/>
      <c r="D192" s="34"/>
      <c r="E192" s="34"/>
      <c r="F192" s="37" t="str">
        <f aca="false">IF(A192="","",IF(G192&lt;&gt;"",G192,WORKDAY(A192,-2)))</f>
        <v/>
      </c>
      <c r="G192" s="35"/>
      <c r="H192" s="34"/>
      <c r="I192" s="34"/>
      <c r="J192" s="35"/>
      <c r="K192" s="34"/>
      <c r="L192" s="34"/>
      <c r="M192" s="34"/>
      <c r="N192" s="34"/>
      <c r="O192" s="34"/>
      <c r="P192" s="34"/>
      <c r="Q192" s="34"/>
      <c r="R192" s="34"/>
    </row>
    <row r="193" customFormat="false" ht="33.75" hidden="false" customHeight="true" outlineLevel="0" collapsed="false">
      <c r="A193" s="31"/>
      <c r="B193" s="42"/>
      <c r="C193" s="30"/>
      <c r="D193" s="30"/>
      <c r="E193" s="30"/>
      <c r="F193" s="37" t="str">
        <f aca="false">IF(A193="","",IF(G193&lt;&gt;"",G193,WORKDAY(A193,-2)))</f>
        <v/>
      </c>
      <c r="G193" s="31"/>
      <c r="H193" s="30"/>
      <c r="I193" s="30"/>
      <c r="J193" s="31"/>
      <c r="K193" s="30"/>
      <c r="L193" s="30"/>
      <c r="M193" s="30"/>
      <c r="N193" s="30"/>
      <c r="O193" s="30"/>
      <c r="P193" s="30"/>
      <c r="Q193" s="30"/>
      <c r="R193" s="30"/>
    </row>
    <row r="194" customFormat="false" ht="33.75" hidden="false" customHeight="true" outlineLevel="0" collapsed="false">
      <c r="A194" s="35"/>
      <c r="B194" s="43"/>
      <c r="C194" s="34"/>
      <c r="D194" s="34"/>
      <c r="E194" s="34"/>
      <c r="F194" s="37" t="str">
        <f aca="false">IF(A194="","",IF(G194&lt;&gt;"",G194,WORKDAY(A194,-2)))</f>
        <v/>
      </c>
      <c r="G194" s="35"/>
      <c r="H194" s="34"/>
      <c r="I194" s="34"/>
      <c r="J194" s="35"/>
      <c r="K194" s="34"/>
      <c r="L194" s="34"/>
      <c r="M194" s="34"/>
      <c r="N194" s="34"/>
      <c r="O194" s="34"/>
      <c r="P194" s="34"/>
      <c r="Q194" s="34"/>
      <c r="R194" s="34"/>
    </row>
    <row r="195" customFormat="false" ht="33.75" hidden="false" customHeight="true" outlineLevel="0" collapsed="false">
      <c r="A195" s="31"/>
      <c r="B195" s="42"/>
      <c r="C195" s="30"/>
      <c r="D195" s="30"/>
      <c r="E195" s="30"/>
      <c r="F195" s="37" t="str">
        <f aca="false">IF(A195="","",IF(G195&lt;&gt;"",G195,WORKDAY(A195,-2)))</f>
        <v/>
      </c>
      <c r="G195" s="31"/>
      <c r="H195" s="30"/>
      <c r="I195" s="30"/>
      <c r="J195" s="31"/>
      <c r="K195" s="30"/>
      <c r="L195" s="30"/>
      <c r="M195" s="30"/>
      <c r="N195" s="30"/>
      <c r="O195" s="30"/>
      <c r="P195" s="30"/>
      <c r="Q195" s="30"/>
      <c r="R195" s="30"/>
    </row>
    <row r="196" customFormat="false" ht="33.75" hidden="false" customHeight="true" outlineLevel="0" collapsed="false">
      <c r="A196" s="35"/>
      <c r="B196" s="43"/>
      <c r="C196" s="34"/>
      <c r="D196" s="34"/>
      <c r="E196" s="34"/>
      <c r="F196" s="37" t="str">
        <f aca="false">IF(A196="","",IF(G196&lt;&gt;"",G196,WORKDAY(A196,-2)))</f>
        <v/>
      </c>
      <c r="G196" s="35"/>
      <c r="H196" s="34"/>
      <c r="I196" s="34"/>
      <c r="J196" s="35"/>
      <c r="K196" s="34"/>
      <c r="L196" s="34"/>
      <c r="M196" s="34"/>
      <c r="N196" s="34"/>
      <c r="O196" s="34"/>
      <c r="P196" s="34"/>
      <c r="Q196" s="34"/>
      <c r="R196" s="34"/>
    </row>
    <row r="197" customFormat="false" ht="33.75" hidden="false" customHeight="true" outlineLevel="0" collapsed="false">
      <c r="A197" s="31"/>
      <c r="B197" s="42"/>
      <c r="C197" s="30"/>
      <c r="D197" s="30"/>
      <c r="E197" s="30"/>
      <c r="F197" s="37" t="str">
        <f aca="false">IF(A197="","",IF(G197&lt;&gt;"",G197,WORKDAY(A197,-2)))</f>
        <v/>
      </c>
      <c r="G197" s="31"/>
      <c r="H197" s="30"/>
      <c r="I197" s="30"/>
      <c r="J197" s="31"/>
      <c r="K197" s="30"/>
      <c r="L197" s="30"/>
      <c r="M197" s="30"/>
      <c r="N197" s="30"/>
      <c r="O197" s="30"/>
      <c r="P197" s="30"/>
      <c r="Q197" s="30"/>
      <c r="R197" s="30"/>
    </row>
    <row r="198" customFormat="false" ht="33.75" hidden="false" customHeight="true" outlineLevel="0" collapsed="false">
      <c r="A198" s="35"/>
      <c r="B198" s="43"/>
      <c r="C198" s="34"/>
      <c r="D198" s="34"/>
      <c r="E198" s="34"/>
      <c r="F198" s="37" t="str">
        <f aca="false">IF(A198="","",IF(G198&lt;&gt;"",G198,WORKDAY(A198,-2)))</f>
        <v/>
      </c>
      <c r="G198" s="35"/>
      <c r="H198" s="34"/>
      <c r="I198" s="34"/>
      <c r="J198" s="35"/>
      <c r="K198" s="34"/>
      <c r="L198" s="34"/>
      <c r="M198" s="34"/>
      <c r="N198" s="34"/>
      <c r="O198" s="34"/>
      <c r="P198" s="34"/>
      <c r="Q198" s="34"/>
      <c r="R198" s="34"/>
    </row>
    <row r="199" customFormat="false" ht="33.75" hidden="false" customHeight="true" outlineLevel="0" collapsed="false">
      <c r="A199" s="31"/>
      <c r="B199" s="42"/>
      <c r="C199" s="30"/>
      <c r="D199" s="30"/>
      <c r="E199" s="30"/>
      <c r="F199" s="37" t="str">
        <f aca="false">IF(A199="","",IF(G199&lt;&gt;"",G199,WORKDAY(A199,-2)))</f>
        <v/>
      </c>
      <c r="G199" s="31"/>
      <c r="H199" s="30"/>
      <c r="I199" s="30"/>
      <c r="J199" s="31"/>
      <c r="K199" s="30"/>
      <c r="L199" s="30"/>
      <c r="M199" s="30"/>
      <c r="N199" s="30"/>
      <c r="O199" s="30"/>
      <c r="P199" s="30"/>
      <c r="Q199" s="30"/>
      <c r="R199" s="30"/>
    </row>
    <row r="200" customFormat="false" ht="33.75" hidden="false" customHeight="true" outlineLevel="0" collapsed="false">
      <c r="A200" s="35"/>
      <c r="B200" s="43"/>
      <c r="C200" s="34"/>
      <c r="D200" s="34"/>
      <c r="E200" s="34"/>
      <c r="F200" s="37" t="str">
        <f aca="false">IF(A200="","",IF(G200&lt;&gt;"",G200,WORKDAY(A200,-2)))</f>
        <v/>
      </c>
      <c r="G200" s="35"/>
      <c r="H200" s="34"/>
      <c r="I200" s="34"/>
      <c r="J200" s="35"/>
      <c r="K200" s="34"/>
      <c r="L200" s="34"/>
      <c r="M200" s="34"/>
      <c r="N200" s="34"/>
      <c r="O200" s="34"/>
      <c r="P200" s="34"/>
      <c r="Q200" s="34"/>
      <c r="R200" s="34"/>
    </row>
    <row r="201" customFormat="false" ht="33.75" hidden="false" customHeight="true" outlineLevel="0" collapsed="false">
      <c r="A201" s="31"/>
      <c r="B201" s="42"/>
      <c r="C201" s="30"/>
      <c r="D201" s="30"/>
      <c r="E201" s="30"/>
      <c r="F201" s="37" t="str">
        <f aca="false">IF(A201="","",IF(G201&lt;&gt;"",G201,WORKDAY(A201,-2)))</f>
        <v/>
      </c>
      <c r="G201" s="31"/>
      <c r="H201" s="30"/>
      <c r="I201" s="30"/>
      <c r="J201" s="31"/>
      <c r="K201" s="30"/>
      <c r="L201" s="30"/>
      <c r="M201" s="30"/>
      <c r="N201" s="30"/>
      <c r="O201" s="30"/>
      <c r="P201" s="30"/>
      <c r="Q201" s="30"/>
      <c r="R201" s="30"/>
    </row>
    <row r="202" customFormat="false" ht="33.75" hidden="false" customHeight="true" outlineLevel="0" collapsed="false">
      <c r="A202" s="35"/>
      <c r="B202" s="43"/>
      <c r="C202" s="34"/>
      <c r="D202" s="34"/>
      <c r="E202" s="34"/>
      <c r="F202" s="37" t="str">
        <f aca="false">IF(A202="","",IF(G202&lt;&gt;"",G202,WORKDAY(A202,-2)))</f>
        <v/>
      </c>
      <c r="G202" s="35"/>
      <c r="H202" s="34"/>
      <c r="I202" s="34"/>
      <c r="J202" s="35"/>
      <c r="K202" s="34"/>
      <c r="L202" s="34"/>
      <c r="M202" s="34"/>
      <c r="N202" s="34"/>
      <c r="O202" s="34"/>
      <c r="P202" s="34"/>
      <c r="Q202" s="34"/>
      <c r="R202" s="34"/>
    </row>
    <row r="203" customFormat="false" ht="33.75" hidden="false" customHeight="true" outlineLevel="0" collapsed="false">
      <c r="A203" s="31"/>
      <c r="B203" s="42"/>
      <c r="C203" s="30"/>
      <c r="D203" s="30"/>
      <c r="E203" s="30"/>
      <c r="F203" s="37" t="str">
        <f aca="false">IF(A203="","",IF(G203&lt;&gt;"",G203,WORKDAY(A203,-2)))</f>
        <v/>
      </c>
      <c r="G203" s="31"/>
      <c r="H203" s="30"/>
      <c r="I203" s="30"/>
      <c r="J203" s="31"/>
      <c r="K203" s="30"/>
      <c r="L203" s="30"/>
      <c r="M203" s="30"/>
      <c r="N203" s="30"/>
      <c r="O203" s="30"/>
      <c r="P203" s="30"/>
      <c r="Q203" s="30"/>
      <c r="R203" s="30"/>
    </row>
    <row r="204" customFormat="false" ht="33.75" hidden="false" customHeight="true" outlineLevel="0" collapsed="false">
      <c r="A204" s="35"/>
      <c r="B204" s="43"/>
      <c r="C204" s="34"/>
      <c r="D204" s="34"/>
      <c r="E204" s="34"/>
      <c r="F204" s="37" t="str">
        <f aca="false">IF(A204="","",IF(G204&lt;&gt;"",G204,WORKDAY(A204,-2)))</f>
        <v/>
      </c>
      <c r="G204" s="35"/>
      <c r="H204" s="34"/>
      <c r="I204" s="34"/>
      <c r="J204" s="35"/>
      <c r="K204" s="34"/>
      <c r="L204" s="34"/>
      <c r="M204" s="34"/>
      <c r="N204" s="34"/>
      <c r="O204" s="34"/>
      <c r="P204" s="34"/>
      <c r="Q204" s="34"/>
      <c r="R204" s="34"/>
    </row>
    <row r="205" customFormat="false" ht="33.75" hidden="false" customHeight="true" outlineLevel="0" collapsed="false">
      <c r="A205" s="31"/>
      <c r="B205" s="42"/>
      <c r="C205" s="30"/>
      <c r="D205" s="30"/>
      <c r="E205" s="30"/>
      <c r="F205" s="37" t="str">
        <f aca="false">IF(A205="","",IF(G205&lt;&gt;"",G205,WORKDAY(A205,-2)))</f>
        <v/>
      </c>
      <c r="G205" s="31"/>
      <c r="H205" s="30"/>
      <c r="I205" s="30"/>
      <c r="J205" s="31"/>
      <c r="K205" s="30"/>
      <c r="L205" s="30"/>
      <c r="M205" s="30"/>
      <c r="N205" s="30"/>
      <c r="O205" s="30"/>
      <c r="P205" s="30"/>
      <c r="Q205" s="30"/>
      <c r="R205" s="30"/>
    </row>
    <row r="206" customFormat="false" ht="33.75" hidden="false" customHeight="true" outlineLevel="0" collapsed="false">
      <c r="A206" s="35"/>
      <c r="B206" s="43"/>
      <c r="C206" s="34"/>
      <c r="D206" s="34"/>
      <c r="E206" s="34"/>
      <c r="F206" s="37" t="str">
        <f aca="false">IF(A206="","",IF(G206&lt;&gt;"",G206,WORKDAY(A206,-2)))</f>
        <v/>
      </c>
      <c r="G206" s="35"/>
      <c r="H206" s="34"/>
      <c r="I206" s="34"/>
      <c r="J206" s="35"/>
      <c r="K206" s="34"/>
      <c r="L206" s="34"/>
      <c r="M206" s="34"/>
      <c r="N206" s="34"/>
      <c r="O206" s="34"/>
      <c r="P206" s="34"/>
      <c r="Q206" s="34"/>
      <c r="R206" s="34"/>
    </row>
    <row r="207" customFormat="false" ht="33.75" hidden="false" customHeight="true" outlineLevel="0" collapsed="false">
      <c r="A207" s="31"/>
      <c r="B207" s="42"/>
      <c r="C207" s="30"/>
      <c r="D207" s="30"/>
      <c r="E207" s="30"/>
      <c r="F207" s="37" t="str">
        <f aca="false">IF(A207="","",IF(G207&lt;&gt;"",G207,WORKDAY(A207,-2)))</f>
        <v/>
      </c>
      <c r="G207" s="31"/>
      <c r="H207" s="30"/>
      <c r="I207" s="30"/>
      <c r="J207" s="31"/>
      <c r="K207" s="30"/>
      <c r="L207" s="30"/>
      <c r="M207" s="30"/>
      <c r="N207" s="30"/>
      <c r="O207" s="30"/>
      <c r="P207" s="30"/>
      <c r="Q207" s="30"/>
      <c r="R207" s="30"/>
    </row>
    <row r="208" customFormat="false" ht="33.75" hidden="false" customHeight="true" outlineLevel="0" collapsed="false">
      <c r="A208" s="35"/>
      <c r="B208" s="43"/>
      <c r="C208" s="34"/>
      <c r="D208" s="34"/>
      <c r="E208" s="34"/>
      <c r="F208" s="37" t="str">
        <f aca="false">IF(A208="","",IF(G208&lt;&gt;"",G208,WORKDAY(A208,-2)))</f>
        <v/>
      </c>
      <c r="G208" s="35"/>
      <c r="H208" s="34"/>
      <c r="I208" s="34"/>
      <c r="J208" s="35"/>
      <c r="K208" s="34"/>
      <c r="L208" s="34"/>
      <c r="M208" s="34"/>
      <c r="N208" s="34"/>
      <c r="O208" s="34"/>
      <c r="P208" s="34"/>
      <c r="Q208" s="34"/>
      <c r="R208" s="34"/>
    </row>
    <row r="209" customFormat="false" ht="33.75" hidden="false" customHeight="true" outlineLevel="0" collapsed="false">
      <c r="A209" s="31"/>
      <c r="B209" s="42"/>
      <c r="C209" s="30"/>
      <c r="D209" s="30"/>
      <c r="E209" s="30"/>
      <c r="F209" s="37" t="str">
        <f aca="false">IF(A209="","",IF(G209&lt;&gt;"",G209,WORKDAY(A209,-2)))</f>
        <v/>
      </c>
      <c r="G209" s="31"/>
      <c r="H209" s="30"/>
      <c r="I209" s="30"/>
      <c r="J209" s="31"/>
      <c r="K209" s="30"/>
      <c r="L209" s="30"/>
      <c r="M209" s="30"/>
      <c r="N209" s="30"/>
      <c r="O209" s="30"/>
      <c r="P209" s="30"/>
      <c r="Q209" s="30"/>
      <c r="R209" s="30"/>
    </row>
    <row r="210" customFormat="false" ht="33.75" hidden="false" customHeight="true" outlineLevel="0" collapsed="false">
      <c r="A210" s="35"/>
      <c r="B210" s="43"/>
      <c r="C210" s="34"/>
      <c r="D210" s="34"/>
      <c r="E210" s="34"/>
      <c r="F210" s="37" t="str">
        <f aca="false">IF(A210="","",IF(G210&lt;&gt;"",G210,WORKDAY(A210,-2)))</f>
        <v/>
      </c>
      <c r="G210" s="35"/>
      <c r="H210" s="34"/>
      <c r="I210" s="34"/>
      <c r="J210" s="35"/>
      <c r="K210" s="34"/>
      <c r="L210" s="34"/>
      <c r="M210" s="34"/>
      <c r="N210" s="34"/>
      <c r="O210" s="34"/>
      <c r="P210" s="34"/>
      <c r="Q210" s="34"/>
      <c r="R210" s="34"/>
    </row>
    <row r="211" customFormat="false" ht="33.75" hidden="false" customHeight="true" outlineLevel="0" collapsed="false">
      <c r="A211" s="31"/>
      <c r="B211" s="42"/>
      <c r="C211" s="30"/>
      <c r="D211" s="30"/>
      <c r="E211" s="30"/>
      <c r="F211" s="37" t="str">
        <f aca="false">IF(A211="","",IF(G211&lt;&gt;"",G211,WORKDAY(A211,-2)))</f>
        <v/>
      </c>
      <c r="G211" s="31"/>
      <c r="H211" s="30"/>
      <c r="I211" s="30"/>
      <c r="J211" s="31"/>
      <c r="K211" s="30"/>
      <c r="L211" s="30"/>
      <c r="M211" s="30"/>
      <c r="N211" s="30"/>
      <c r="O211" s="30"/>
      <c r="P211" s="30"/>
      <c r="Q211" s="30"/>
      <c r="R211" s="30"/>
    </row>
    <row r="212" customFormat="false" ht="33.75" hidden="false" customHeight="true" outlineLevel="0" collapsed="false">
      <c r="A212" s="35"/>
      <c r="B212" s="43"/>
      <c r="C212" s="34"/>
      <c r="D212" s="34"/>
      <c r="E212" s="34"/>
      <c r="F212" s="37" t="str">
        <f aca="false">IF(A212="","",IF(G212&lt;&gt;"",G212,WORKDAY(A212,-2)))</f>
        <v/>
      </c>
      <c r="G212" s="35"/>
      <c r="H212" s="34"/>
      <c r="I212" s="34"/>
      <c r="J212" s="35"/>
      <c r="K212" s="34"/>
      <c r="L212" s="34"/>
      <c r="M212" s="34"/>
      <c r="N212" s="34"/>
      <c r="O212" s="34"/>
      <c r="P212" s="34"/>
      <c r="Q212" s="34"/>
      <c r="R212" s="34"/>
    </row>
    <row r="213" customFormat="false" ht="33.75" hidden="false" customHeight="true" outlineLevel="0" collapsed="false">
      <c r="A213" s="31"/>
      <c r="B213" s="42"/>
      <c r="C213" s="30"/>
      <c r="D213" s="30"/>
      <c r="E213" s="30"/>
      <c r="F213" s="37" t="str">
        <f aca="false">IF(A213="","",IF(G213&lt;&gt;"",G213,WORKDAY(A213,-2)))</f>
        <v/>
      </c>
      <c r="G213" s="31"/>
      <c r="H213" s="30"/>
      <c r="I213" s="30"/>
      <c r="J213" s="31"/>
      <c r="K213" s="30"/>
      <c r="L213" s="30"/>
      <c r="M213" s="30"/>
      <c r="N213" s="30"/>
      <c r="O213" s="30"/>
      <c r="P213" s="30"/>
      <c r="Q213" s="30"/>
      <c r="R213" s="30"/>
    </row>
    <row r="214" customFormat="false" ht="33.75" hidden="false" customHeight="true" outlineLevel="0" collapsed="false">
      <c r="A214" s="35"/>
      <c r="B214" s="43"/>
      <c r="C214" s="34"/>
      <c r="D214" s="34"/>
      <c r="E214" s="34"/>
      <c r="F214" s="37" t="str">
        <f aca="false">IF(A214="","",IF(G214&lt;&gt;"",G214,WORKDAY(A214,-2)))</f>
        <v/>
      </c>
      <c r="G214" s="35"/>
      <c r="H214" s="34"/>
      <c r="I214" s="34"/>
      <c r="J214" s="35"/>
      <c r="K214" s="34"/>
      <c r="L214" s="34"/>
      <c r="M214" s="34"/>
      <c r="N214" s="34"/>
      <c r="O214" s="34"/>
      <c r="P214" s="34"/>
      <c r="Q214" s="34"/>
      <c r="R214" s="34"/>
    </row>
    <row r="215" customFormat="false" ht="33.75" hidden="false" customHeight="true" outlineLevel="0" collapsed="false">
      <c r="A215" s="31"/>
      <c r="B215" s="42"/>
      <c r="C215" s="30"/>
      <c r="D215" s="30"/>
      <c r="E215" s="30"/>
      <c r="F215" s="37" t="str">
        <f aca="false">IF(A215="","",IF(G215&lt;&gt;"",G215,WORKDAY(A215,-2)))</f>
        <v/>
      </c>
      <c r="G215" s="31"/>
      <c r="H215" s="30"/>
      <c r="I215" s="30"/>
      <c r="J215" s="31"/>
      <c r="K215" s="30"/>
      <c r="L215" s="30"/>
      <c r="M215" s="30"/>
      <c r="N215" s="30"/>
      <c r="O215" s="30"/>
      <c r="P215" s="30"/>
      <c r="Q215" s="30"/>
      <c r="R215" s="30"/>
    </row>
    <row r="216" customFormat="false" ht="33.75" hidden="false" customHeight="true" outlineLevel="0" collapsed="false">
      <c r="A216" s="35"/>
      <c r="B216" s="43"/>
      <c r="C216" s="34"/>
      <c r="D216" s="34"/>
      <c r="E216" s="34"/>
      <c r="F216" s="37" t="str">
        <f aca="false">IF(A216="","",IF(G216&lt;&gt;"",G216,WORKDAY(A216,-2)))</f>
        <v/>
      </c>
      <c r="G216" s="35"/>
      <c r="H216" s="34"/>
      <c r="I216" s="34"/>
      <c r="J216" s="35"/>
      <c r="K216" s="34"/>
      <c r="L216" s="34"/>
      <c r="M216" s="34"/>
      <c r="N216" s="34"/>
      <c r="O216" s="34"/>
      <c r="P216" s="34"/>
      <c r="Q216" s="34"/>
      <c r="R216" s="34"/>
    </row>
    <row r="217" customFormat="false" ht="33.75" hidden="false" customHeight="true" outlineLevel="0" collapsed="false">
      <c r="A217" s="31"/>
      <c r="B217" s="42"/>
      <c r="C217" s="30"/>
      <c r="D217" s="30"/>
      <c r="E217" s="30"/>
      <c r="F217" s="37" t="str">
        <f aca="false">IF(A217="","",IF(G217&lt;&gt;"",G217,WORKDAY(A217,-2)))</f>
        <v/>
      </c>
      <c r="G217" s="31"/>
      <c r="H217" s="30"/>
      <c r="I217" s="30"/>
      <c r="J217" s="31"/>
      <c r="K217" s="30"/>
      <c r="L217" s="30"/>
      <c r="M217" s="30"/>
      <c r="N217" s="30"/>
      <c r="O217" s="30"/>
      <c r="P217" s="30"/>
      <c r="Q217" s="30"/>
      <c r="R217" s="30"/>
    </row>
    <row r="218" customFormat="false" ht="33.75" hidden="false" customHeight="true" outlineLevel="0" collapsed="false">
      <c r="A218" s="35"/>
      <c r="B218" s="43"/>
      <c r="C218" s="34"/>
      <c r="D218" s="34"/>
      <c r="E218" s="34"/>
      <c r="F218" s="37" t="str">
        <f aca="false">IF(A218="","",IF(G218&lt;&gt;"",G218,WORKDAY(A218,-2)))</f>
        <v/>
      </c>
      <c r="G218" s="35"/>
      <c r="H218" s="34"/>
      <c r="I218" s="34"/>
      <c r="J218" s="35"/>
      <c r="K218" s="34"/>
      <c r="L218" s="34"/>
      <c r="M218" s="34"/>
      <c r="N218" s="34"/>
      <c r="O218" s="34"/>
      <c r="P218" s="34"/>
      <c r="Q218" s="34"/>
      <c r="R218" s="34"/>
    </row>
    <row r="219" customFormat="false" ht="33.75" hidden="false" customHeight="true" outlineLevel="0" collapsed="false">
      <c r="A219" s="31"/>
      <c r="B219" s="42"/>
      <c r="C219" s="30"/>
      <c r="D219" s="30"/>
      <c r="E219" s="30"/>
      <c r="F219" s="37" t="str">
        <f aca="false">IF(A219="","",IF(G219&lt;&gt;"",G219,WORKDAY(A219,-2)))</f>
        <v/>
      </c>
      <c r="G219" s="31"/>
      <c r="H219" s="30"/>
      <c r="I219" s="30"/>
      <c r="J219" s="31"/>
      <c r="K219" s="30"/>
      <c r="L219" s="30"/>
      <c r="M219" s="30"/>
      <c r="N219" s="30"/>
      <c r="O219" s="30"/>
      <c r="P219" s="30"/>
      <c r="Q219" s="30"/>
      <c r="R219" s="30"/>
    </row>
    <row r="220" customFormat="false" ht="33.75" hidden="false" customHeight="true" outlineLevel="0" collapsed="false">
      <c r="A220" s="35"/>
      <c r="B220" s="43"/>
      <c r="C220" s="34"/>
      <c r="D220" s="34"/>
      <c r="E220" s="34"/>
      <c r="F220" s="37" t="str">
        <f aca="false">IF(A220="","",IF(G220&lt;&gt;"",G220,WORKDAY(A220,-2)))</f>
        <v/>
      </c>
      <c r="G220" s="35"/>
      <c r="H220" s="34"/>
      <c r="I220" s="34"/>
      <c r="J220" s="35"/>
      <c r="K220" s="34"/>
      <c r="L220" s="34"/>
      <c r="M220" s="34"/>
      <c r="N220" s="34"/>
      <c r="O220" s="34"/>
      <c r="P220" s="34"/>
      <c r="Q220" s="34"/>
      <c r="R220" s="34"/>
    </row>
    <row r="221" customFormat="false" ht="33.75" hidden="false" customHeight="true" outlineLevel="0" collapsed="false">
      <c r="A221" s="31"/>
      <c r="B221" s="42"/>
      <c r="C221" s="30"/>
      <c r="D221" s="30"/>
      <c r="E221" s="30"/>
      <c r="F221" s="37" t="str">
        <f aca="false">IF(A221="","",IF(G221&lt;&gt;"",G221,WORKDAY(A221,-2)))</f>
        <v/>
      </c>
      <c r="G221" s="31"/>
      <c r="H221" s="30"/>
      <c r="I221" s="30"/>
      <c r="J221" s="31"/>
      <c r="K221" s="30"/>
      <c r="L221" s="30"/>
      <c r="M221" s="30"/>
      <c r="N221" s="30"/>
      <c r="O221" s="30"/>
      <c r="P221" s="30"/>
      <c r="Q221" s="30"/>
      <c r="R221" s="30"/>
    </row>
    <row r="222" customFormat="false" ht="33.75" hidden="false" customHeight="true" outlineLevel="0" collapsed="false">
      <c r="A222" s="35"/>
      <c r="B222" s="43"/>
      <c r="C222" s="34"/>
      <c r="D222" s="34"/>
      <c r="E222" s="34"/>
      <c r="F222" s="37" t="str">
        <f aca="false">IF(A222="","",IF(G222&lt;&gt;"",G222,WORKDAY(A222,-2)))</f>
        <v/>
      </c>
      <c r="G222" s="35"/>
      <c r="H222" s="34"/>
      <c r="I222" s="34"/>
      <c r="J222" s="35"/>
      <c r="K222" s="34"/>
      <c r="L222" s="34"/>
      <c r="M222" s="34"/>
      <c r="N222" s="34"/>
      <c r="O222" s="34"/>
      <c r="P222" s="34"/>
      <c r="Q222" s="34"/>
      <c r="R222" s="34"/>
    </row>
    <row r="223" customFormat="false" ht="33.75" hidden="false" customHeight="true" outlineLevel="0" collapsed="false">
      <c r="A223" s="31"/>
      <c r="B223" s="42"/>
      <c r="C223" s="30"/>
      <c r="D223" s="30"/>
      <c r="E223" s="30"/>
      <c r="F223" s="37" t="str">
        <f aca="false">IF(A223="","",IF(G223&lt;&gt;"",G223,WORKDAY(A223,-2)))</f>
        <v/>
      </c>
      <c r="G223" s="31"/>
      <c r="H223" s="30"/>
      <c r="I223" s="30"/>
      <c r="J223" s="31"/>
      <c r="K223" s="30"/>
      <c r="L223" s="30"/>
      <c r="M223" s="30"/>
      <c r="N223" s="30"/>
      <c r="O223" s="30"/>
      <c r="P223" s="30"/>
      <c r="Q223" s="30"/>
      <c r="R223" s="30"/>
    </row>
    <row r="224" customFormat="false" ht="33.75" hidden="false" customHeight="true" outlineLevel="0" collapsed="false">
      <c r="A224" s="35"/>
      <c r="B224" s="43"/>
      <c r="C224" s="34"/>
      <c r="D224" s="34"/>
      <c r="E224" s="34"/>
      <c r="F224" s="37" t="str">
        <f aca="false">IF(A224="","",IF(G224&lt;&gt;"",G224,WORKDAY(A224,-2)))</f>
        <v/>
      </c>
      <c r="G224" s="35"/>
      <c r="H224" s="34"/>
      <c r="I224" s="34"/>
      <c r="J224" s="35"/>
      <c r="K224" s="34"/>
      <c r="L224" s="34"/>
      <c r="M224" s="34"/>
      <c r="N224" s="34"/>
      <c r="O224" s="34"/>
      <c r="P224" s="34"/>
      <c r="Q224" s="34"/>
      <c r="R224" s="34"/>
    </row>
    <row r="225" customFormat="false" ht="33.75" hidden="false" customHeight="true" outlineLevel="0" collapsed="false">
      <c r="A225" s="31"/>
      <c r="B225" s="42"/>
      <c r="C225" s="30"/>
      <c r="D225" s="30"/>
      <c r="E225" s="30"/>
      <c r="F225" s="37" t="str">
        <f aca="false">IF(A225="","",IF(G225&lt;&gt;"",G225,WORKDAY(A225,-2)))</f>
        <v/>
      </c>
      <c r="G225" s="31"/>
      <c r="H225" s="30"/>
      <c r="I225" s="30"/>
      <c r="J225" s="31"/>
      <c r="K225" s="30"/>
      <c r="L225" s="30"/>
      <c r="M225" s="30"/>
      <c r="N225" s="30"/>
      <c r="O225" s="30"/>
      <c r="P225" s="30"/>
      <c r="Q225" s="30"/>
      <c r="R225" s="30"/>
    </row>
    <row r="226" customFormat="false" ht="33.75" hidden="false" customHeight="true" outlineLevel="0" collapsed="false">
      <c r="A226" s="35"/>
      <c r="B226" s="43"/>
      <c r="C226" s="34"/>
      <c r="D226" s="34"/>
      <c r="E226" s="34"/>
      <c r="F226" s="37" t="str">
        <f aca="false">IF(A226="","",IF(G226&lt;&gt;"",G226,WORKDAY(A226,-2)))</f>
        <v/>
      </c>
      <c r="G226" s="35"/>
      <c r="H226" s="34"/>
      <c r="I226" s="34"/>
      <c r="J226" s="35"/>
      <c r="K226" s="34"/>
      <c r="L226" s="34"/>
      <c r="M226" s="34"/>
      <c r="N226" s="34"/>
      <c r="O226" s="34"/>
      <c r="P226" s="34"/>
      <c r="Q226" s="34"/>
      <c r="R226" s="34"/>
    </row>
    <row r="227" customFormat="false" ht="33.75" hidden="false" customHeight="true" outlineLevel="0" collapsed="false">
      <c r="A227" s="31"/>
      <c r="B227" s="42"/>
      <c r="C227" s="30"/>
      <c r="D227" s="30"/>
      <c r="E227" s="30"/>
      <c r="F227" s="37" t="str">
        <f aca="false">IF(A227="","",IF(G227&lt;&gt;"",G227,WORKDAY(A227,-2)))</f>
        <v/>
      </c>
      <c r="G227" s="31"/>
      <c r="H227" s="30"/>
      <c r="I227" s="30"/>
      <c r="J227" s="31"/>
      <c r="K227" s="30"/>
      <c r="L227" s="30"/>
      <c r="M227" s="30"/>
      <c r="N227" s="30"/>
      <c r="O227" s="30"/>
      <c r="P227" s="30"/>
      <c r="Q227" s="30"/>
      <c r="R227" s="30"/>
    </row>
    <row r="228" customFormat="false" ht="33.75" hidden="false" customHeight="true" outlineLevel="0" collapsed="false">
      <c r="A228" s="35"/>
      <c r="B228" s="43"/>
      <c r="C228" s="34"/>
      <c r="D228" s="34"/>
      <c r="E228" s="34"/>
      <c r="F228" s="37" t="str">
        <f aca="false">IF(A228="","",IF(G228&lt;&gt;"",G228,WORKDAY(A228,-2)))</f>
        <v/>
      </c>
      <c r="G228" s="35"/>
      <c r="H228" s="34"/>
      <c r="I228" s="34"/>
      <c r="J228" s="35"/>
      <c r="K228" s="34"/>
      <c r="L228" s="34"/>
      <c r="M228" s="34"/>
      <c r="N228" s="34"/>
      <c r="O228" s="34"/>
      <c r="P228" s="34"/>
      <c r="Q228" s="34"/>
      <c r="R228" s="34"/>
    </row>
    <row r="229" customFormat="false" ht="33.75" hidden="false" customHeight="true" outlineLevel="0" collapsed="false">
      <c r="A229" s="31"/>
      <c r="B229" s="42"/>
      <c r="C229" s="30"/>
      <c r="D229" s="30"/>
      <c r="E229" s="30"/>
      <c r="F229" s="37" t="str">
        <f aca="false">IF(A229="","",IF(G229&lt;&gt;"",G229,WORKDAY(A229,-2)))</f>
        <v/>
      </c>
      <c r="G229" s="31"/>
      <c r="H229" s="30"/>
      <c r="I229" s="30"/>
      <c r="J229" s="31"/>
      <c r="K229" s="30"/>
      <c r="L229" s="30"/>
      <c r="M229" s="30"/>
      <c r="N229" s="30"/>
      <c r="O229" s="30"/>
      <c r="P229" s="30"/>
      <c r="Q229" s="30"/>
      <c r="R229" s="30"/>
    </row>
    <row r="230" customFormat="false" ht="33.75" hidden="false" customHeight="true" outlineLevel="0" collapsed="false">
      <c r="A230" s="35"/>
      <c r="B230" s="43"/>
      <c r="C230" s="34"/>
      <c r="D230" s="34"/>
      <c r="E230" s="34"/>
      <c r="F230" s="37" t="str">
        <f aca="false">IF(A230="","",IF(G230&lt;&gt;"",G230,WORKDAY(A230,-2)))</f>
        <v/>
      </c>
      <c r="G230" s="35"/>
      <c r="H230" s="34"/>
      <c r="I230" s="34"/>
      <c r="J230" s="35"/>
      <c r="K230" s="34"/>
      <c r="L230" s="34"/>
      <c r="M230" s="34"/>
      <c r="N230" s="34"/>
      <c r="O230" s="34"/>
      <c r="P230" s="34"/>
      <c r="Q230" s="34"/>
      <c r="R230" s="34"/>
    </row>
    <row r="231" customFormat="false" ht="33.75" hidden="false" customHeight="true" outlineLevel="0" collapsed="false">
      <c r="A231" s="31"/>
      <c r="B231" s="42"/>
      <c r="C231" s="30"/>
      <c r="D231" s="30"/>
      <c r="E231" s="30"/>
      <c r="F231" s="37" t="str">
        <f aca="false">IF(A231="","",IF(G231&lt;&gt;"",G231,WORKDAY(A231,-2)))</f>
        <v/>
      </c>
      <c r="G231" s="31"/>
      <c r="H231" s="30"/>
      <c r="I231" s="30"/>
      <c r="J231" s="31"/>
      <c r="K231" s="30"/>
      <c r="L231" s="30"/>
      <c r="M231" s="30"/>
      <c r="N231" s="30"/>
      <c r="O231" s="30"/>
      <c r="P231" s="30"/>
      <c r="Q231" s="30"/>
      <c r="R231" s="30"/>
    </row>
    <row r="232" customFormat="false" ht="33.75" hidden="false" customHeight="true" outlineLevel="0" collapsed="false">
      <c r="A232" s="35"/>
      <c r="B232" s="43"/>
      <c r="C232" s="34"/>
      <c r="D232" s="34"/>
      <c r="E232" s="34"/>
      <c r="F232" s="37" t="str">
        <f aca="false">IF(A232="","",IF(G232&lt;&gt;"",G232,WORKDAY(A232,-2)))</f>
        <v/>
      </c>
      <c r="G232" s="35"/>
      <c r="H232" s="34"/>
      <c r="I232" s="34"/>
      <c r="J232" s="35"/>
      <c r="K232" s="34"/>
      <c r="L232" s="34"/>
      <c r="M232" s="34"/>
      <c r="N232" s="34"/>
      <c r="O232" s="34"/>
      <c r="P232" s="34"/>
      <c r="Q232" s="34"/>
      <c r="R232" s="34"/>
    </row>
    <row r="233" customFormat="false" ht="33.75" hidden="false" customHeight="true" outlineLevel="0" collapsed="false">
      <c r="A233" s="31"/>
      <c r="B233" s="42"/>
      <c r="C233" s="30"/>
      <c r="D233" s="30"/>
      <c r="E233" s="30"/>
      <c r="F233" s="37" t="str">
        <f aca="false">IF(A233="","",IF(G233&lt;&gt;"",G233,WORKDAY(A233,-2)))</f>
        <v/>
      </c>
      <c r="G233" s="31"/>
      <c r="H233" s="30"/>
      <c r="I233" s="30"/>
      <c r="J233" s="31"/>
      <c r="K233" s="30"/>
      <c r="L233" s="30"/>
      <c r="M233" s="30"/>
      <c r="N233" s="30"/>
      <c r="O233" s="30"/>
      <c r="P233" s="30"/>
      <c r="Q233" s="30"/>
      <c r="R233" s="30"/>
    </row>
    <row r="234" customFormat="false" ht="33.75" hidden="false" customHeight="true" outlineLevel="0" collapsed="false">
      <c r="A234" s="35"/>
      <c r="B234" s="43"/>
      <c r="C234" s="34"/>
      <c r="D234" s="34"/>
      <c r="E234" s="34"/>
      <c r="F234" s="37" t="str">
        <f aca="false">IF(A234="","",IF(G234&lt;&gt;"",G234,WORKDAY(A234,-2)))</f>
        <v/>
      </c>
      <c r="G234" s="35"/>
      <c r="H234" s="34"/>
      <c r="I234" s="34"/>
      <c r="J234" s="35"/>
      <c r="K234" s="34"/>
      <c r="L234" s="34"/>
      <c r="M234" s="34"/>
      <c r="N234" s="34"/>
      <c r="O234" s="34"/>
      <c r="P234" s="34"/>
      <c r="Q234" s="34"/>
      <c r="R234" s="34"/>
    </row>
    <row r="235" customFormat="false" ht="33.75" hidden="false" customHeight="true" outlineLevel="0" collapsed="false">
      <c r="A235" s="31"/>
      <c r="B235" s="42"/>
      <c r="C235" s="30"/>
      <c r="D235" s="30"/>
      <c r="E235" s="30"/>
      <c r="F235" s="37" t="str">
        <f aca="false">IF(A235="","",IF(G235&lt;&gt;"",G235,WORKDAY(A235,-2)))</f>
        <v/>
      </c>
      <c r="G235" s="31"/>
      <c r="H235" s="30"/>
      <c r="I235" s="30"/>
      <c r="J235" s="31"/>
      <c r="K235" s="30"/>
      <c r="L235" s="30"/>
      <c r="M235" s="30"/>
      <c r="N235" s="30"/>
      <c r="O235" s="30"/>
      <c r="P235" s="30"/>
      <c r="Q235" s="30"/>
      <c r="R235" s="30"/>
    </row>
    <row r="236" customFormat="false" ht="33.75" hidden="false" customHeight="true" outlineLevel="0" collapsed="false">
      <c r="A236" s="35"/>
      <c r="B236" s="43"/>
      <c r="C236" s="34"/>
      <c r="D236" s="34"/>
      <c r="E236" s="34"/>
      <c r="F236" s="37" t="str">
        <f aca="false">IF(A236="","",IF(G236&lt;&gt;"",G236,WORKDAY(A236,-2)))</f>
        <v/>
      </c>
      <c r="G236" s="35"/>
      <c r="H236" s="34"/>
      <c r="I236" s="34"/>
      <c r="J236" s="35"/>
      <c r="K236" s="34"/>
      <c r="L236" s="34"/>
      <c r="M236" s="34"/>
      <c r="N236" s="34"/>
      <c r="O236" s="34"/>
      <c r="P236" s="34"/>
      <c r="Q236" s="34"/>
      <c r="R236" s="34"/>
    </row>
    <row r="237" customFormat="false" ht="33.75" hidden="false" customHeight="true" outlineLevel="0" collapsed="false">
      <c r="A237" s="31"/>
      <c r="B237" s="42"/>
      <c r="C237" s="30"/>
      <c r="D237" s="30"/>
      <c r="E237" s="30"/>
      <c r="F237" s="37" t="str">
        <f aca="false">IF(A237="","",IF(G237&lt;&gt;"",G237,WORKDAY(A237,-2)))</f>
        <v/>
      </c>
      <c r="G237" s="31"/>
      <c r="H237" s="30"/>
      <c r="I237" s="30"/>
      <c r="J237" s="31"/>
      <c r="K237" s="30"/>
      <c r="L237" s="30"/>
      <c r="M237" s="30"/>
      <c r="N237" s="30"/>
      <c r="O237" s="30"/>
      <c r="P237" s="30"/>
      <c r="Q237" s="30"/>
      <c r="R237" s="30"/>
    </row>
    <row r="238" customFormat="false" ht="33.75" hidden="false" customHeight="true" outlineLevel="0" collapsed="false">
      <c r="A238" s="35"/>
      <c r="B238" s="43"/>
      <c r="C238" s="34"/>
      <c r="D238" s="34"/>
      <c r="E238" s="34"/>
      <c r="F238" s="37" t="str">
        <f aca="false">IF(A238="","",IF(G238&lt;&gt;"",G238,WORKDAY(A238,-2)))</f>
        <v/>
      </c>
      <c r="G238" s="35"/>
      <c r="H238" s="34"/>
      <c r="I238" s="34"/>
      <c r="J238" s="35"/>
      <c r="K238" s="34"/>
      <c r="L238" s="34"/>
      <c r="M238" s="34"/>
      <c r="N238" s="34"/>
      <c r="O238" s="34"/>
      <c r="P238" s="34"/>
      <c r="Q238" s="34"/>
      <c r="R238" s="34"/>
    </row>
    <row r="239" customFormat="false" ht="33.75" hidden="false" customHeight="true" outlineLevel="0" collapsed="false">
      <c r="A239" s="31"/>
      <c r="B239" s="42"/>
      <c r="C239" s="30"/>
      <c r="D239" s="30"/>
      <c r="E239" s="30"/>
      <c r="F239" s="37" t="str">
        <f aca="false">IF(A239="","",IF(G239&lt;&gt;"",G239,WORKDAY(A239,-2)))</f>
        <v/>
      </c>
      <c r="G239" s="31"/>
      <c r="H239" s="30"/>
      <c r="I239" s="30"/>
      <c r="J239" s="31"/>
      <c r="K239" s="30"/>
      <c r="L239" s="30"/>
      <c r="M239" s="30"/>
      <c r="N239" s="30"/>
      <c r="O239" s="30"/>
      <c r="P239" s="30"/>
      <c r="Q239" s="30"/>
      <c r="R239" s="30"/>
    </row>
    <row r="240" customFormat="false" ht="33.75" hidden="false" customHeight="true" outlineLevel="0" collapsed="false">
      <c r="A240" s="35"/>
      <c r="B240" s="43"/>
      <c r="C240" s="34"/>
      <c r="D240" s="34"/>
      <c r="E240" s="34"/>
      <c r="F240" s="37" t="str">
        <f aca="false">IF(A240="","",IF(G240&lt;&gt;"",G240,WORKDAY(A240,-2)))</f>
        <v/>
      </c>
      <c r="G240" s="35"/>
      <c r="H240" s="34"/>
      <c r="I240" s="34"/>
      <c r="J240" s="35"/>
      <c r="K240" s="34"/>
      <c r="L240" s="34"/>
      <c r="M240" s="34"/>
      <c r="N240" s="34"/>
      <c r="O240" s="34"/>
      <c r="P240" s="34"/>
      <c r="Q240" s="34"/>
      <c r="R240" s="34"/>
    </row>
    <row r="241" customFormat="false" ht="33.75" hidden="false" customHeight="true" outlineLevel="0" collapsed="false">
      <c r="A241" s="31"/>
      <c r="B241" s="42"/>
      <c r="C241" s="30"/>
      <c r="D241" s="30"/>
      <c r="E241" s="30"/>
      <c r="F241" s="37" t="str">
        <f aca="false">IF(A241="","",IF(G241&lt;&gt;"",G241,WORKDAY(A241,-2)))</f>
        <v/>
      </c>
      <c r="G241" s="31"/>
      <c r="H241" s="30"/>
      <c r="I241" s="30"/>
      <c r="J241" s="31"/>
      <c r="K241" s="30"/>
      <c r="L241" s="30"/>
      <c r="M241" s="30"/>
      <c r="N241" s="30"/>
      <c r="O241" s="30"/>
      <c r="P241" s="30"/>
      <c r="Q241" s="30"/>
      <c r="R241" s="30"/>
    </row>
    <row r="242" customFormat="false" ht="33.75" hidden="false" customHeight="true" outlineLevel="0" collapsed="false">
      <c r="A242" s="35"/>
      <c r="B242" s="43"/>
      <c r="C242" s="34"/>
      <c r="D242" s="34"/>
      <c r="E242" s="34"/>
      <c r="F242" s="37" t="str">
        <f aca="false">IF(A242="","",IF(G242&lt;&gt;"",G242,WORKDAY(A242,-2)))</f>
        <v/>
      </c>
      <c r="G242" s="35"/>
      <c r="H242" s="34"/>
      <c r="I242" s="34"/>
      <c r="J242" s="35"/>
      <c r="K242" s="34"/>
      <c r="L242" s="34"/>
      <c r="M242" s="34"/>
      <c r="N242" s="34"/>
      <c r="O242" s="34"/>
      <c r="P242" s="34"/>
      <c r="Q242" s="34"/>
      <c r="R242" s="34"/>
    </row>
    <row r="243" customFormat="false" ht="33.75" hidden="false" customHeight="true" outlineLevel="0" collapsed="false">
      <c r="A243" s="31"/>
      <c r="B243" s="42"/>
      <c r="C243" s="30"/>
      <c r="D243" s="30"/>
      <c r="E243" s="30"/>
      <c r="F243" s="37" t="str">
        <f aca="false">IF(A243="","",IF(G243&lt;&gt;"",G243,WORKDAY(A243,-2)))</f>
        <v/>
      </c>
      <c r="G243" s="31"/>
      <c r="H243" s="30"/>
      <c r="I243" s="30"/>
      <c r="J243" s="31"/>
      <c r="K243" s="30"/>
      <c r="L243" s="30"/>
      <c r="M243" s="30"/>
      <c r="N243" s="30"/>
      <c r="O243" s="30"/>
      <c r="P243" s="30"/>
      <c r="Q243" s="30"/>
      <c r="R243" s="30"/>
    </row>
    <row r="244" customFormat="false" ht="33.75" hidden="false" customHeight="true" outlineLevel="0" collapsed="false">
      <c r="A244" s="35"/>
      <c r="B244" s="43"/>
      <c r="C244" s="34"/>
      <c r="D244" s="34"/>
      <c r="E244" s="34"/>
      <c r="F244" s="37" t="str">
        <f aca="false">IF(A244="","",IF(G244&lt;&gt;"",G244,WORKDAY(A244,-2)))</f>
        <v/>
      </c>
      <c r="G244" s="35"/>
      <c r="H244" s="34"/>
      <c r="I244" s="34"/>
      <c r="J244" s="35"/>
      <c r="K244" s="34"/>
      <c r="L244" s="34"/>
      <c r="M244" s="34"/>
      <c r="N244" s="34"/>
      <c r="O244" s="34"/>
      <c r="P244" s="34"/>
      <c r="Q244" s="34"/>
      <c r="R244" s="34"/>
    </row>
    <row r="245" customFormat="false" ht="33.75" hidden="false" customHeight="true" outlineLevel="0" collapsed="false">
      <c r="A245" s="31"/>
      <c r="B245" s="42"/>
      <c r="C245" s="30"/>
      <c r="D245" s="30"/>
      <c r="E245" s="30"/>
      <c r="F245" s="37" t="str">
        <f aca="false">IF(A245="","",IF(G245&lt;&gt;"",G245,WORKDAY(A245,-2)))</f>
        <v/>
      </c>
      <c r="G245" s="31"/>
      <c r="H245" s="30"/>
      <c r="I245" s="30"/>
      <c r="J245" s="31"/>
      <c r="K245" s="30"/>
      <c r="L245" s="30"/>
      <c r="M245" s="30"/>
      <c r="N245" s="30"/>
      <c r="O245" s="30"/>
      <c r="P245" s="30"/>
      <c r="Q245" s="30"/>
      <c r="R245" s="30"/>
    </row>
    <row r="246" customFormat="false" ht="33.75" hidden="false" customHeight="true" outlineLevel="0" collapsed="false">
      <c r="A246" s="35"/>
      <c r="B246" s="43"/>
      <c r="C246" s="34"/>
      <c r="D246" s="34"/>
      <c r="E246" s="34"/>
      <c r="F246" s="37" t="str">
        <f aca="false">IF(A246="","",IF(G246&lt;&gt;"",G246,WORKDAY(A246,-2)))</f>
        <v/>
      </c>
      <c r="G246" s="35"/>
      <c r="H246" s="34"/>
      <c r="I246" s="34"/>
      <c r="J246" s="35"/>
      <c r="K246" s="34"/>
      <c r="L246" s="34"/>
      <c r="M246" s="34"/>
      <c r="N246" s="34"/>
      <c r="O246" s="34"/>
      <c r="P246" s="34"/>
      <c r="Q246" s="34"/>
      <c r="R246" s="34"/>
    </row>
    <row r="247" customFormat="false" ht="33.75" hidden="false" customHeight="true" outlineLevel="0" collapsed="false">
      <c r="A247" s="31"/>
      <c r="B247" s="42"/>
      <c r="C247" s="30"/>
      <c r="D247" s="30"/>
      <c r="E247" s="30"/>
      <c r="F247" s="37" t="str">
        <f aca="false">IF(A247="","",IF(G247&lt;&gt;"",G247,WORKDAY(A247,-2)))</f>
        <v/>
      </c>
      <c r="G247" s="31"/>
      <c r="H247" s="30"/>
      <c r="I247" s="30"/>
      <c r="J247" s="31"/>
      <c r="K247" s="30"/>
      <c r="L247" s="30"/>
      <c r="M247" s="30"/>
      <c r="N247" s="30"/>
      <c r="O247" s="30"/>
      <c r="P247" s="30"/>
      <c r="Q247" s="30"/>
      <c r="R247" s="30"/>
    </row>
    <row r="248" customFormat="false" ht="33.75" hidden="false" customHeight="true" outlineLevel="0" collapsed="false">
      <c r="A248" s="35"/>
      <c r="B248" s="43"/>
      <c r="C248" s="34"/>
      <c r="D248" s="34"/>
      <c r="E248" s="34"/>
      <c r="F248" s="37" t="str">
        <f aca="false">IF(A248="","",IF(G248&lt;&gt;"",G248,WORKDAY(A248,-2)))</f>
        <v/>
      </c>
      <c r="G248" s="35"/>
      <c r="H248" s="34"/>
      <c r="I248" s="34"/>
      <c r="J248" s="35"/>
      <c r="K248" s="34"/>
      <c r="L248" s="34"/>
      <c r="M248" s="34"/>
      <c r="N248" s="34"/>
      <c r="O248" s="34"/>
      <c r="P248" s="34"/>
      <c r="Q248" s="34"/>
      <c r="R248" s="34"/>
    </row>
    <row r="249" customFormat="false" ht="33.75" hidden="false" customHeight="true" outlineLevel="0" collapsed="false">
      <c r="A249" s="31"/>
      <c r="B249" s="42"/>
      <c r="C249" s="30"/>
      <c r="D249" s="30"/>
      <c r="E249" s="30"/>
      <c r="F249" s="37" t="str">
        <f aca="false">IF(A249="","",IF(G249&lt;&gt;"",G249,WORKDAY(A249,-2)))</f>
        <v/>
      </c>
      <c r="G249" s="31"/>
      <c r="H249" s="30"/>
      <c r="I249" s="30"/>
      <c r="J249" s="31"/>
      <c r="K249" s="30"/>
      <c r="L249" s="30"/>
      <c r="M249" s="30"/>
      <c r="N249" s="30"/>
      <c r="O249" s="30"/>
      <c r="P249" s="30"/>
      <c r="Q249" s="30"/>
      <c r="R249" s="30"/>
    </row>
    <row r="250" customFormat="false" ht="33.75" hidden="false" customHeight="true" outlineLevel="0" collapsed="false">
      <c r="A250" s="35"/>
      <c r="B250" s="43"/>
      <c r="C250" s="34"/>
      <c r="D250" s="34"/>
      <c r="E250" s="34"/>
      <c r="F250" s="37" t="str">
        <f aca="false">IF(A250="","",IF(G250&lt;&gt;"",G250,WORKDAY(A250,-2)))</f>
        <v/>
      </c>
      <c r="G250" s="35"/>
      <c r="H250" s="34"/>
      <c r="I250" s="34"/>
      <c r="J250" s="35"/>
      <c r="K250" s="34"/>
      <c r="L250" s="34"/>
      <c r="M250" s="34"/>
      <c r="N250" s="34"/>
      <c r="O250" s="34"/>
      <c r="P250" s="34"/>
      <c r="Q250" s="34"/>
      <c r="R250" s="34"/>
    </row>
    <row r="251" customFormat="false" ht="33.75" hidden="false" customHeight="true" outlineLevel="0" collapsed="false">
      <c r="A251" s="31"/>
      <c r="B251" s="42"/>
      <c r="C251" s="30"/>
      <c r="D251" s="30"/>
      <c r="E251" s="30"/>
      <c r="F251" s="37" t="str">
        <f aca="false">IF(A251="","",IF(G251&lt;&gt;"",G251,WORKDAY(A251,-2)))</f>
        <v/>
      </c>
      <c r="G251" s="31"/>
      <c r="H251" s="30"/>
      <c r="I251" s="30"/>
      <c r="J251" s="31"/>
      <c r="K251" s="30"/>
      <c r="L251" s="30"/>
      <c r="M251" s="30"/>
      <c r="N251" s="30"/>
      <c r="O251" s="30"/>
      <c r="P251" s="30"/>
      <c r="Q251" s="30"/>
      <c r="R251" s="30"/>
    </row>
    <row r="252" customFormat="false" ht="33.75" hidden="false" customHeight="true" outlineLevel="0" collapsed="false">
      <c r="A252" s="35"/>
      <c r="B252" s="43"/>
      <c r="C252" s="34"/>
      <c r="D252" s="34"/>
      <c r="E252" s="34"/>
      <c r="F252" s="37" t="str">
        <f aca="false">IF(A252="","",IF(G252&lt;&gt;"",G252,WORKDAY(A252,-2)))</f>
        <v/>
      </c>
      <c r="G252" s="35"/>
      <c r="H252" s="34"/>
      <c r="I252" s="34"/>
      <c r="J252" s="35"/>
      <c r="K252" s="34"/>
      <c r="L252" s="34"/>
      <c r="M252" s="34"/>
      <c r="N252" s="34"/>
      <c r="O252" s="34"/>
      <c r="P252" s="34"/>
      <c r="Q252" s="34"/>
      <c r="R252" s="34"/>
    </row>
    <row r="253" customFormat="false" ht="33.75" hidden="false" customHeight="true" outlineLevel="0" collapsed="false">
      <c r="A253" s="31"/>
      <c r="B253" s="42"/>
      <c r="C253" s="30"/>
      <c r="D253" s="30"/>
      <c r="E253" s="30"/>
      <c r="F253" s="37" t="str">
        <f aca="false">IF(A253="","",IF(G253&lt;&gt;"",G253,WORKDAY(A253,-2)))</f>
        <v/>
      </c>
      <c r="G253" s="31"/>
      <c r="H253" s="30"/>
      <c r="I253" s="30"/>
      <c r="J253" s="31"/>
      <c r="K253" s="30"/>
      <c r="L253" s="30"/>
      <c r="M253" s="30"/>
      <c r="N253" s="30"/>
      <c r="O253" s="30"/>
      <c r="P253" s="30"/>
      <c r="Q253" s="30"/>
      <c r="R253" s="30"/>
    </row>
    <row r="254" customFormat="false" ht="33.75" hidden="false" customHeight="true" outlineLevel="0" collapsed="false">
      <c r="A254" s="35"/>
      <c r="B254" s="43"/>
      <c r="C254" s="34"/>
      <c r="D254" s="34"/>
      <c r="E254" s="34"/>
      <c r="F254" s="37" t="str">
        <f aca="false">IF(A254="","",IF(G254&lt;&gt;"",G254,WORKDAY(A254,-2)))</f>
        <v/>
      </c>
      <c r="G254" s="35"/>
      <c r="H254" s="34"/>
      <c r="I254" s="34"/>
      <c r="J254" s="35"/>
      <c r="K254" s="34"/>
      <c r="L254" s="34"/>
      <c r="M254" s="34"/>
      <c r="N254" s="34"/>
      <c r="O254" s="34"/>
      <c r="P254" s="34"/>
      <c r="Q254" s="34"/>
      <c r="R254" s="34"/>
    </row>
    <row r="255" customFormat="false" ht="33.75" hidden="false" customHeight="true" outlineLevel="0" collapsed="false">
      <c r="A255" s="31"/>
      <c r="B255" s="42"/>
      <c r="C255" s="30"/>
      <c r="D255" s="30"/>
      <c r="E255" s="30"/>
      <c r="F255" s="37" t="str">
        <f aca="false">IF(A255="","",IF(G255&lt;&gt;"",G255,WORKDAY(A255,-2)))</f>
        <v/>
      </c>
      <c r="G255" s="31"/>
      <c r="H255" s="30"/>
      <c r="I255" s="30"/>
      <c r="J255" s="31"/>
      <c r="K255" s="30"/>
      <c r="L255" s="30"/>
      <c r="M255" s="30"/>
      <c r="N255" s="30"/>
      <c r="O255" s="30"/>
      <c r="P255" s="30"/>
      <c r="Q255" s="30"/>
      <c r="R255" s="30"/>
    </row>
    <row r="256" customFormat="false" ht="33.75" hidden="false" customHeight="true" outlineLevel="0" collapsed="false">
      <c r="A256" s="35"/>
      <c r="B256" s="43"/>
      <c r="C256" s="34"/>
      <c r="D256" s="34"/>
      <c r="E256" s="34"/>
      <c r="F256" s="37" t="str">
        <f aca="false">IF(A256="","",IF(G256&lt;&gt;"",G256,WORKDAY(A256,-2)))</f>
        <v/>
      </c>
      <c r="G256" s="35"/>
      <c r="H256" s="34"/>
      <c r="I256" s="34"/>
      <c r="J256" s="35"/>
      <c r="K256" s="34"/>
      <c r="L256" s="34"/>
      <c r="M256" s="34"/>
      <c r="N256" s="34"/>
      <c r="O256" s="34"/>
      <c r="P256" s="34"/>
      <c r="Q256" s="34"/>
      <c r="R256" s="34"/>
    </row>
    <row r="257" customFormat="false" ht="33.75" hidden="false" customHeight="true" outlineLevel="0" collapsed="false">
      <c r="A257" s="31"/>
      <c r="B257" s="42"/>
      <c r="C257" s="30"/>
      <c r="D257" s="30"/>
      <c r="E257" s="30"/>
      <c r="F257" s="37" t="str">
        <f aca="false">IF(A257="","",IF(G257&lt;&gt;"",G257,WORKDAY(A257,-2)))</f>
        <v/>
      </c>
      <c r="G257" s="31"/>
      <c r="H257" s="30"/>
      <c r="I257" s="30"/>
      <c r="J257" s="31"/>
      <c r="K257" s="30"/>
      <c r="L257" s="30"/>
      <c r="M257" s="30"/>
      <c r="N257" s="30"/>
      <c r="O257" s="30"/>
      <c r="P257" s="30"/>
      <c r="Q257" s="30"/>
      <c r="R257" s="30"/>
    </row>
    <row r="258" customFormat="false" ht="33.75" hidden="false" customHeight="true" outlineLevel="0" collapsed="false">
      <c r="A258" s="35"/>
      <c r="B258" s="43"/>
      <c r="C258" s="34"/>
      <c r="D258" s="34"/>
      <c r="E258" s="34"/>
      <c r="F258" s="37" t="str">
        <f aca="false">IF(A258="","",IF(G258&lt;&gt;"",G258,WORKDAY(A258,-2)))</f>
        <v/>
      </c>
      <c r="G258" s="35"/>
      <c r="H258" s="34"/>
      <c r="I258" s="34"/>
      <c r="J258" s="35"/>
      <c r="K258" s="34"/>
      <c r="L258" s="34"/>
      <c r="M258" s="34"/>
      <c r="N258" s="34"/>
      <c r="O258" s="34"/>
      <c r="P258" s="34"/>
      <c r="Q258" s="34"/>
      <c r="R258" s="34"/>
    </row>
    <row r="259" customFormat="false" ht="33.75" hidden="false" customHeight="true" outlineLevel="0" collapsed="false">
      <c r="A259" s="31"/>
      <c r="B259" s="42"/>
      <c r="C259" s="30"/>
      <c r="D259" s="30"/>
      <c r="E259" s="30"/>
      <c r="F259" s="37" t="str">
        <f aca="false">IF(A259="","",IF(G259&lt;&gt;"",G259,WORKDAY(A259,-2)))</f>
        <v/>
      </c>
      <c r="G259" s="31"/>
      <c r="H259" s="30"/>
      <c r="I259" s="30"/>
      <c r="J259" s="31"/>
      <c r="K259" s="30"/>
      <c r="L259" s="30"/>
      <c r="M259" s="30"/>
      <c r="N259" s="30"/>
      <c r="O259" s="30"/>
      <c r="P259" s="30"/>
      <c r="Q259" s="30"/>
      <c r="R259" s="30"/>
    </row>
    <row r="260" customFormat="false" ht="33.75" hidden="false" customHeight="true" outlineLevel="0" collapsed="false">
      <c r="A260" s="35"/>
      <c r="B260" s="43"/>
      <c r="C260" s="34"/>
      <c r="D260" s="34"/>
      <c r="E260" s="34"/>
      <c r="F260" s="37" t="str">
        <f aca="false">IF(A260="","",IF(G260&lt;&gt;"",G260,WORKDAY(A260,-2)))</f>
        <v/>
      </c>
      <c r="G260" s="35"/>
      <c r="H260" s="34"/>
      <c r="I260" s="34"/>
      <c r="J260" s="35"/>
      <c r="K260" s="34"/>
      <c r="L260" s="34"/>
      <c r="M260" s="34"/>
      <c r="N260" s="34"/>
      <c r="O260" s="34"/>
      <c r="P260" s="34"/>
      <c r="Q260" s="34"/>
      <c r="R260" s="34"/>
    </row>
    <row r="261" customFormat="false" ht="33.75" hidden="false" customHeight="true" outlineLevel="0" collapsed="false">
      <c r="A261" s="31"/>
      <c r="B261" s="42"/>
      <c r="C261" s="30"/>
      <c r="D261" s="30"/>
      <c r="E261" s="30"/>
      <c r="F261" s="37" t="str">
        <f aca="false">IF(A261="","",IF(G261&lt;&gt;"",G261,WORKDAY(A261,-2)))</f>
        <v/>
      </c>
      <c r="G261" s="31"/>
      <c r="H261" s="30"/>
      <c r="I261" s="30"/>
      <c r="J261" s="31"/>
      <c r="K261" s="30"/>
      <c r="L261" s="30"/>
      <c r="M261" s="30"/>
      <c r="N261" s="30"/>
      <c r="O261" s="30"/>
      <c r="P261" s="30"/>
      <c r="Q261" s="30"/>
      <c r="R261" s="30"/>
    </row>
    <row r="262" customFormat="false" ht="33.75" hidden="false" customHeight="true" outlineLevel="0" collapsed="false">
      <c r="A262" s="35"/>
      <c r="B262" s="43"/>
      <c r="C262" s="34"/>
      <c r="D262" s="34"/>
      <c r="E262" s="34"/>
      <c r="F262" s="37" t="str">
        <f aca="false">IF(A262="","",IF(G262&lt;&gt;"",G262,WORKDAY(A262,-2)))</f>
        <v/>
      </c>
      <c r="G262" s="35"/>
      <c r="H262" s="34"/>
      <c r="I262" s="34"/>
      <c r="J262" s="35"/>
      <c r="K262" s="34"/>
      <c r="L262" s="34"/>
      <c r="M262" s="34"/>
      <c r="N262" s="34"/>
      <c r="O262" s="34"/>
      <c r="P262" s="34"/>
      <c r="Q262" s="34"/>
      <c r="R262" s="34"/>
    </row>
    <row r="263" customFormat="false" ht="33.75" hidden="false" customHeight="true" outlineLevel="0" collapsed="false">
      <c r="A263" s="31"/>
      <c r="B263" s="42"/>
      <c r="C263" s="30"/>
      <c r="D263" s="30"/>
      <c r="E263" s="30"/>
      <c r="F263" s="37" t="str">
        <f aca="false">IF(A263="","",IF(G263&lt;&gt;"",G263,WORKDAY(A263,-2)))</f>
        <v/>
      </c>
      <c r="G263" s="31"/>
      <c r="H263" s="30"/>
      <c r="I263" s="30"/>
      <c r="J263" s="31"/>
      <c r="K263" s="30"/>
      <c r="L263" s="30"/>
      <c r="M263" s="30"/>
      <c r="N263" s="30"/>
      <c r="O263" s="30"/>
      <c r="P263" s="30"/>
      <c r="Q263" s="30"/>
      <c r="R263" s="30"/>
    </row>
    <row r="264" customFormat="false" ht="33.75" hidden="false" customHeight="true" outlineLevel="0" collapsed="false">
      <c r="A264" s="35"/>
      <c r="B264" s="43"/>
      <c r="C264" s="34"/>
      <c r="D264" s="34"/>
      <c r="E264" s="34"/>
      <c r="F264" s="37" t="str">
        <f aca="false">IF(A264="","",IF(G264&lt;&gt;"",G264,WORKDAY(A264,-2)))</f>
        <v/>
      </c>
      <c r="G264" s="35"/>
      <c r="H264" s="34"/>
      <c r="I264" s="34"/>
      <c r="J264" s="35"/>
      <c r="K264" s="34"/>
      <c r="L264" s="34"/>
      <c r="M264" s="34"/>
      <c r="N264" s="34"/>
      <c r="O264" s="34"/>
      <c r="P264" s="34"/>
      <c r="Q264" s="34"/>
      <c r="R264" s="34"/>
    </row>
    <row r="265" customFormat="false" ht="33.75" hidden="false" customHeight="true" outlineLevel="0" collapsed="false">
      <c r="A265" s="31"/>
      <c r="B265" s="42"/>
      <c r="C265" s="30"/>
      <c r="D265" s="30"/>
      <c r="E265" s="30"/>
      <c r="F265" s="37" t="str">
        <f aca="false">IF(A265="","",IF(G265&lt;&gt;"",G265,WORKDAY(A265,-2)))</f>
        <v/>
      </c>
      <c r="G265" s="31"/>
      <c r="H265" s="30"/>
      <c r="I265" s="30"/>
      <c r="J265" s="31"/>
      <c r="K265" s="30"/>
      <c r="L265" s="30"/>
      <c r="M265" s="30"/>
      <c r="N265" s="30"/>
      <c r="O265" s="30"/>
      <c r="P265" s="30"/>
      <c r="Q265" s="30"/>
      <c r="R265" s="30"/>
    </row>
    <row r="266" customFormat="false" ht="33.75" hidden="false" customHeight="true" outlineLevel="0" collapsed="false">
      <c r="A266" s="35"/>
      <c r="B266" s="43"/>
      <c r="C266" s="34"/>
      <c r="D266" s="34"/>
      <c r="E266" s="34"/>
      <c r="F266" s="37" t="str">
        <f aca="false">IF(A266="","",IF(G266&lt;&gt;"",G266,WORKDAY(A266,-2)))</f>
        <v/>
      </c>
      <c r="G266" s="35"/>
      <c r="H266" s="34"/>
      <c r="I266" s="34"/>
      <c r="J266" s="35"/>
      <c r="K266" s="34"/>
      <c r="L266" s="34"/>
      <c r="M266" s="34"/>
      <c r="N266" s="34"/>
      <c r="O266" s="34"/>
      <c r="P266" s="34"/>
      <c r="Q266" s="34"/>
      <c r="R266" s="34"/>
    </row>
    <row r="267" customFormat="false" ht="33.75" hidden="false" customHeight="true" outlineLevel="0" collapsed="false">
      <c r="A267" s="31"/>
      <c r="B267" s="42"/>
      <c r="C267" s="30"/>
      <c r="D267" s="30"/>
      <c r="E267" s="30"/>
      <c r="F267" s="37" t="str">
        <f aca="false">IF(A267="","",IF(G267&lt;&gt;"",G267,WORKDAY(A267,-2)))</f>
        <v/>
      </c>
      <c r="G267" s="31"/>
      <c r="H267" s="30"/>
      <c r="I267" s="30"/>
      <c r="J267" s="31"/>
      <c r="K267" s="30"/>
      <c r="L267" s="30"/>
      <c r="M267" s="30"/>
      <c r="N267" s="30"/>
      <c r="O267" s="30"/>
      <c r="P267" s="30"/>
      <c r="Q267" s="30"/>
      <c r="R267" s="30"/>
    </row>
    <row r="268" customFormat="false" ht="33.75" hidden="false" customHeight="true" outlineLevel="0" collapsed="false">
      <c r="A268" s="35"/>
      <c r="B268" s="43"/>
      <c r="C268" s="34"/>
      <c r="D268" s="34"/>
      <c r="E268" s="34"/>
      <c r="F268" s="37" t="str">
        <f aca="false">IF(A268="","",IF(G268&lt;&gt;"",G268,WORKDAY(A268,-2)))</f>
        <v/>
      </c>
      <c r="G268" s="35"/>
      <c r="H268" s="34"/>
      <c r="I268" s="34"/>
      <c r="J268" s="35"/>
      <c r="K268" s="34"/>
      <c r="L268" s="34"/>
      <c r="M268" s="34"/>
      <c r="N268" s="34"/>
      <c r="O268" s="34"/>
      <c r="P268" s="34"/>
      <c r="Q268" s="34"/>
      <c r="R268" s="34"/>
    </row>
    <row r="269" customFormat="false" ht="33.75" hidden="false" customHeight="true" outlineLevel="0" collapsed="false">
      <c r="A269" s="31"/>
      <c r="B269" s="42"/>
      <c r="C269" s="30"/>
      <c r="D269" s="30"/>
      <c r="E269" s="30"/>
      <c r="F269" s="37" t="str">
        <f aca="false">IF(A269="","",IF(G269&lt;&gt;"",G269,WORKDAY(A269,-2)))</f>
        <v/>
      </c>
      <c r="G269" s="31"/>
      <c r="H269" s="30"/>
      <c r="I269" s="30"/>
      <c r="J269" s="31"/>
      <c r="K269" s="30"/>
      <c r="L269" s="30"/>
      <c r="M269" s="30"/>
      <c r="N269" s="30"/>
      <c r="O269" s="30"/>
      <c r="P269" s="30"/>
      <c r="Q269" s="30"/>
      <c r="R269" s="30"/>
    </row>
    <row r="270" customFormat="false" ht="33.75" hidden="false" customHeight="true" outlineLevel="0" collapsed="false">
      <c r="A270" s="35"/>
      <c r="B270" s="43"/>
      <c r="C270" s="34"/>
      <c r="D270" s="34"/>
      <c r="E270" s="34"/>
      <c r="F270" s="37" t="str">
        <f aca="false">IF(A270="","",IF(G270&lt;&gt;"",G270,WORKDAY(A270,-2)))</f>
        <v/>
      </c>
      <c r="G270" s="35"/>
      <c r="H270" s="34"/>
      <c r="I270" s="34"/>
      <c r="J270" s="35"/>
      <c r="K270" s="34"/>
      <c r="L270" s="34"/>
      <c r="M270" s="34"/>
      <c r="N270" s="34"/>
      <c r="O270" s="34"/>
      <c r="P270" s="34"/>
      <c r="Q270" s="34"/>
      <c r="R270" s="34"/>
    </row>
    <row r="271" customFormat="false" ht="33.75" hidden="false" customHeight="true" outlineLevel="0" collapsed="false">
      <c r="A271" s="31"/>
      <c r="B271" s="42"/>
      <c r="C271" s="30"/>
      <c r="D271" s="30"/>
      <c r="E271" s="30"/>
      <c r="F271" s="37" t="str">
        <f aca="false">IF(A271="","",IF(G271&lt;&gt;"",G271,WORKDAY(A271,-2)))</f>
        <v/>
      </c>
      <c r="G271" s="31"/>
      <c r="H271" s="30"/>
      <c r="I271" s="30"/>
      <c r="J271" s="31"/>
      <c r="K271" s="30"/>
      <c r="L271" s="30"/>
      <c r="M271" s="30"/>
      <c r="N271" s="30"/>
      <c r="O271" s="30"/>
      <c r="P271" s="30"/>
      <c r="Q271" s="30"/>
      <c r="R271" s="30"/>
    </row>
    <row r="272" customFormat="false" ht="33.75" hidden="false" customHeight="true" outlineLevel="0" collapsed="false">
      <c r="A272" s="35"/>
      <c r="B272" s="43"/>
      <c r="C272" s="34"/>
      <c r="D272" s="34"/>
      <c r="E272" s="34"/>
      <c r="F272" s="37" t="str">
        <f aca="false">IF(A272="","",IF(G272&lt;&gt;"",G272,WORKDAY(A272,-2)))</f>
        <v/>
      </c>
      <c r="G272" s="35"/>
      <c r="H272" s="34"/>
      <c r="I272" s="34"/>
      <c r="J272" s="35"/>
      <c r="K272" s="34"/>
      <c r="L272" s="34"/>
      <c r="M272" s="34"/>
      <c r="N272" s="34"/>
      <c r="O272" s="34"/>
      <c r="P272" s="34"/>
      <c r="Q272" s="34"/>
      <c r="R272" s="34"/>
    </row>
    <row r="273" customFormat="false" ht="33.75" hidden="false" customHeight="true" outlineLevel="0" collapsed="false">
      <c r="A273" s="31"/>
      <c r="B273" s="42"/>
      <c r="C273" s="30"/>
      <c r="D273" s="30"/>
      <c r="E273" s="30"/>
      <c r="F273" s="37" t="str">
        <f aca="false">IF(A273="","",IF(G273&lt;&gt;"",G273,WORKDAY(A273,-2)))</f>
        <v/>
      </c>
      <c r="G273" s="31"/>
      <c r="H273" s="30"/>
      <c r="I273" s="30"/>
      <c r="J273" s="31"/>
      <c r="K273" s="30"/>
      <c r="L273" s="30"/>
      <c r="M273" s="30"/>
      <c r="N273" s="30"/>
      <c r="O273" s="30"/>
      <c r="P273" s="30"/>
      <c r="Q273" s="30"/>
      <c r="R273" s="30"/>
    </row>
    <row r="274" customFormat="false" ht="33.75" hidden="false" customHeight="true" outlineLevel="0" collapsed="false">
      <c r="A274" s="35"/>
      <c r="B274" s="43"/>
      <c r="C274" s="34"/>
      <c r="D274" s="34"/>
      <c r="E274" s="34"/>
      <c r="F274" s="37" t="str">
        <f aca="false">IF(A274="","",IF(G274&lt;&gt;"",G274,WORKDAY(A274,-2)))</f>
        <v/>
      </c>
      <c r="G274" s="35"/>
      <c r="H274" s="34"/>
      <c r="I274" s="34"/>
      <c r="J274" s="35"/>
      <c r="K274" s="34"/>
      <c r="L274" s="34"/>
      <c r="M274" s="34"/>
      <c r="N274" s="34"/>
      <c r="O274" s="34"/>
      <c r="P274" s="34"/>
      <c r="Q274" s="34"/>
      <c r="R274" s="34"/>
    </row>
    <row r="275" customFormat="false" ht="33.75" hidden="false" customHeight="true" outlineLevel="0" collapsed="false">
      <c r="A275" s="31"/>
      <c r="B275" s="42"/>
      <c r="C275" s="30"/>
      <c r="D275" s="30"/>
      <c r="E275" s="30"/>
      <c r="F275" s="37" t="str">
        <f aca="false">IF(A275="","",IF(G275&lt;&gt;"",G275,WORKDAY(A275,-2)))</f>
        <v/>
      </c>
      <c r="G275" s="31"/>
      <c r="H275" s="30"/>
      <c r="I275" s="30"/>
      <c r="J275" s="31"/>
      <c r="K275" s="30"/>
      <c r="L275" s="30"/>
      <c r="M275" s="30"/>
      <c r="N275" s="30"/>
      <c r="O275" s="30"/>
      <c r="P275" s="30"/>
      <c r="Q275" s="30"/>
      <c r="R275" s="30"/>
    </row>
    <row r="276" customFormat="false" ht="33.75" hidden="false" customHeight="true" outlineLevel="0" collapsed="false">
      <c r="A276" s="35"/>
      <c r="B276" s="43"/>
      <c r="C276" s="34"/>
      <c r="D276" s="34"/>
      <c r="E276" s="34"/>
      <c r="F276" s="37" t="str">
        <f aca="false">IF(A276="","",IF(G276&lt;&gt;"",G276,WORKDAY(A276,-2)))</f>
        <v/>
      </c>
      <c r="G276" s="35"/>
      <c r="H276" s="34"/>
      <c r="I276" s="34"/>
      <c r="J276" s="35"/>
      <c r="K276" s="34"/>
      <c r="L276" s="34"/>
      <c r="M276" s="34"/>
      <c r="N276" s="34"/>
      <c r="O276" s="34"/>
      <c r="P276" s="34"/>
      <c r="Q276" s="34"/>
      <c r="R276" s="34"/>
    </row>
    <row r="277" customFormat="false" ht="33.75" hidden="false" customHeight="true" outlineLevel="0" collapsed="false">
      <c r="A277" s="31"/>
      <c r="B277" s="42"/>
      <c r="C277" s="30"/>
      <c r="D277" s="30"/>
      <c r="E277" s="30"/>
      <c r="F277" s="37" t="str">
        <f aca="false">IF(A277="","",IF(G277&lt;&gt;"",G277,WORKDAY(A277,-2)))</f>
        <v/>
      </c>
      <c r="G277" s="31"/>
      <c r="H277" s="30"/>
      <c r="I277" s="30"/>
      <c r="J277" s="31"/>
      <c r="K277" s="30"/>
      <c r="L277" s="30"/>
      <c r="M277" s="30"/>
      <c r="N277" s="30"/>
      <c r="O277" s="30"/>
      <c r="P277" s="30"/>
      <c r="Q277" s="30"/>
      <c r="R277" s="30"/>
    </row>
    <row r="278" customFormat="false" ht="33.75" hidden="false" customHeight="true" outlineLevel="0" collapsed="false">
      <c r="A278" s="35"/>
      <c r="B278" s="43"/>
      <c r="C278" s="34"/>
      <c r="D278" s="34"/>
      <c r="E278" s="34"/>
      <c r="F278" s="37" t="str">
        <f aca="false">IF(A278="","",IF(G278&lt;&gt;"",G278,WORKDAY(A278,-2)))</f>
        <v/>
      </c>
      <c r="G278" s="35"/>
      <c r="H278" s="34"/>
      <c r="I278" s="34"/>
      <c r="J278" s="35"/>
      <c r="K278" s="34"/>
      <c r="L278" s="34"/>
      <c r="M278" s="34"/>
      <c r="N278" s="34"/>
      <c r="O278" s="34"/>
      <c r="P278" s="34"/>
      <c r="Q278" s="34"/>
      <c r="R278" s="34"/>
    </row>
    <row r="279" customFormat="false" ht="33.75" hidden="false" customHeight="true" outlineLevel="0" collapsed="false">
      <c r="A279" s="31"/>
      <c r="B279" s="42"/>
      <c r="C279" s="30"/>
      <c r="D279" s="30"/>
      <c r="E279" s="30"/>
      <c r="F279" s="37" t="str">
        <f aca="false">IF(A279="","",IF(G279&lt;&gt;"",G279,WORKDAY(A279,-2)))</f>
        <v/>
      </c>
      <c r="G279" s="31"/>
      <c r="H279" s="30"/>
      <c r="I279" s="30"/>
      <c r="J279" s="31"/>
      <c r="K279" s="30"/>
      <c r="L279" s="30"/>
      <c r="M279" s="30"/>
      <c r="N279" s="30"/>
      <c r="O279" s="30"/>
      <c r="P279" s="30"/>
      <c r="Q279" s="30"/>
      <c r="R279" s="30"/>
    </row>
    <row r="280" customFormat="false" ht="33.75" hidden="false" customHeight="true" outlineLevel="0" collapsed="false">
      <c r="A280" s="35"/>
      <c r="B280" s="43"/>
      <c r="C280" s="34"/>
      <c r="D280" s="34"/>
      <c r="E280" s="34"/>
      <c r="F280" s="37" t="str">
        <f aca="false">IF(A280="","",IF(G280&lt;&gt;"",G280,WORKDAY(A280,-2)))</f>
        <v/>
      </c>
      <c r="G280" s="35"/>
      <c r="H280" s="34"/>
      <c r="I280" s="34"/>
      <c r="J280" s="35"/>
      <c r="K280" s="34"/>
      <c r="L280" s="34"/>
      <c r="M280" s="34"/>
      <c r="N280" s="34"/>
      <c r="O280" s="34"/>
      <c r="P280" s="34"/>
      <c r="Q280" s="34"/>
      <c r="R280" s="34"/>
    </row>
    <row r="281" customFormat="false" ht="33.75" hidden="false" customHeight="true" outlineLevel="0" collapsed="false">
      <c r="A281" s="31"/>
      <c r="B281" s="42"/>
      <c r="C281" s="30"/>
      <c r="D281" s="30"/>
      <c r="E281" s="30"/>
      <c r="F281" s="37" t="str">
        <f aca="false">IF(A281="","",IF(G281&lt;&gt;"",G281,WORKDAY(A281,-2)))</f>
        <v/>
      </c>
      <c r="G281" s="31"/>
      <c r="H281" s="30"/>
      <c r="I281" s="30"/>
      <c r="J281" s="31"/>
      <c r="K281" s="30"/>
      <c r="L281" s="30"/>
      <c r="M281" s="30"/>
      <c r="N281" s="30"/>
      <c r="O281" s="30"/>
      <c r="P281" s="30"/>
      <c r="Q281" s="30"/>
      <c r="R281" s="30"/>
    </row>
    <row r="282" customFormat="false" ht="33.75" hidden="false" customHeight="true" outlineLevel="0" collapsed="false">
      <c r="A282" s="35"/>
      <c r="B282" s="43"/>
      <c r="C282" s="34"/>
      <c r="D282" s="34"/>
      <c r="E282" s="34"/>
      <c r="F282" s="37" t="str">
        <f aca="false">IF(A282="","",IF(G282&lt;&gt;"",G282,WORKDAY(A282,-2)))</f>
        <v/>
      </c>
      <c r="G282" s="35"/>
      <c r="H282" s="34"/>
      <c r="I282" s="34"/>
      <c r="J282" s="35"/>
      <c r="K282" s="34"/>
      <c r="L282" s="34"/>
      <c r="M282" s="34"/>
      <c r="N282" s="34"/>
      <c r="O282" s="34"/>
      <c r="P282" s="34"/>
      <c r="Q282" s="34"/>
      <c r="R282" s="34"/>
    </row>
    <row r="283" customFormat="false" ht="33.75" hidden="false" customHeight="true" outlineLevel="0" collapsed="false">
      <c r="A283" s="31"/>
      <c r="B283" s="42"/>
      <c r="C283" s="30"/>
      <c r="D283" s="30"/>
      <c r="E283" s="30"/>
      <c r="F283" s="37" t="str">
        <f aca="false">IF(A283="","",IF(G283&lt;&gt;"",G283,WORKDAY(A283,-2)))</f>
        <v/>
      </c>
      <c r="G283" s="31"/>
      <c r="H283" s="30"/>
      <c r="I283" s="30"/>
      <c r="J283" s="31"/>
      <c r="K283" s="30"/>
      <c r="L283" s="30"/>
      <c r="M283" s="30"/>
      <c r="N283" s="30"/>
      <c r="O283" s="30"/>
      <c r="P283" s="30"/>
      <c r="Q283" s="30"/>
      <c r="R283" s="30"/>
    </row>
    <row r="284" customFormat="false" ht="33.75" hidden="false" customHeight="true" outlineLevel="0" collapsed="false">
      <c r="A284" s="35"/>
      <c r="B284" s="43"/>
      <c r="C284" s="34"/>
      <c r="D284" s="34"/>
      <c r="E284" s="34"/>
      <c r="F284" s="37" t="str">
        <f aca="false">IF(A284="","",IF(G284&lt;&gt;"",G284,WORKDAY(A284,-2)))</f>
        <v/>
      </c>
      <c r="G284" s="35"/>
      <c r="H284" s="34"/>
      <c r="I284" s="34"/>
      <c r="J284" s="35"/>
      <c r="K284" s="34"/>
      <c r="L284" s="34"/>
      <c r="M284" s="34"/>
      <c r="N284" s="34"/>
      <c r="O284" s="34"/>
      <c r="P284" s="34"/>
      <c r="Q284" s="34"/>
      <c r="R284" s="34"/>
    </row>
    <row r="285" customFormat="false" ht="33.75" hidden="false" customHeight="true" outlineLevel="0" collapsed="false">
      <c r="A285" s="31"/>
      <c r="B285" s="42"/>
      <c r="C285" s="30"/>
      <c r="D285" s="30"/>
      <c r="E285" s="30"/>
      <c r="F285" s="37" t="str">
        <f aca="false">IF(A285="","",IF(G285&lt;&gt;"",G285,WORKDAY(A285,-2)))</f>
        <v/>
      </c>
      <c r="G285" s="31"/>
      <c r="H285" s="30"/>
      <c r="I285" s="30"/>
      <c r="J285" s="31"/>
      <c r="K285" s="30"/>
      <c r="L285" s="30"/>
      <c r="M285" s="30"/>
      <c r="N285" s="30"/>
      <c r="O285" s="30"/>
      <c r="P285" s="30"/>
      <c r="Q285" s="30"/>
      <c r="R285" s="30"/>
    </row>
    <row r="286" customFormat="false" ht="33.75" hidden="false" customHeight="true" outlineLevel="0" collapsed="false">
      <c r="A286" s="35"/>
      <c r="B286" s="43"/>
      <c r="C286" s="34"/>
      <c r="D286" s="34"/>
      <c r="E286" s="34"/>
      <c r="F286" s="37" t="str">
        <f aca="false">IF(A286="","",IF(G286&lt;&gt;"",G286,WORKDAY(A286,-2)))</f>
        <v/>
      </c>
      <c r="G286" s="35"/>
      <c r="H286" s="34"/>
      <c r="I286" s="34"/>
      <c r="J286" s="35"/>
      <c r="K286" s="34"/>
      <c r="L286" s="34"/>
      <c r="M286" s="34"/>
      <c r="N286" s="34"/>
      <c r="O286" s="34"/>
      <c r="P286" s="34"/>
      <c r="Q286" s="34"/>
      <c r="R286" s="34"/>
    </row>
    <row r="287" customFormat="false" ht="33.75" hidden="false" customHeight="true" outlineLevel="0" collapsed="false">
      <c r="A287" s="31"/>
      <c r="B287" s="42"/>
      <c r="C287" s="30"/>
      <c r="D287" s="30"/>
      <c r="E287" s="30"/>
      <c r="F287" s="37" t="str">
        <f aca="false">IF(A287="","",IF(G287&lt;&gt;"",G287,WORKDAY(A287,-2)))</f>
        <v/>
      </c>
      <c r="G287" s="31"/>
      <c r="H287" s="30"/>
      <c r="I287" s="30"/>
      <c r="J287" s="31"/>
      <c r="K287" s="30"/>
      <c r="L287" s="30"/>
      <c r="M287" s="30"/>
      <c r="N287" s="30"/>
      <c r="O287" s="30"/>
      <c r="P287" s="30"/>
      <c r="Q287" s="30"/>
      <c r="R287" s="30"/>
    </row>
    <row r="288" customFormat="false" ht="33.75" hidden="false" customHeight="true" outlineLevel="0" collapsed="false">
      <c r="A288" s="35"/>
      <c r="B288" s="43"/>
      <c r="C288" s="34"/>
      <c r="D288" s="34"/>
      <c r="E288" s="34"/>
      <c r="F288" s="37" t="str">
        <f aca="false">IF(A288="","",IF(G288&lt;&gt;"",G288,WORKDAY(A288,-2)))</f>
        <v/>
      </c>
      <c r="G288" s="35"/>
      <c r="H288" s="34"/>
      <c r="I288" s="34"/>
      <c r="J288" s="35"/>
      <c r="K288" s="34"/>
      <c r="L288" s="34"/>
      <c r="M288" s="34"/>
      <c r="N288" s="34"/>
      <c r="O288" s="34"/>
      <c r="P288" s="34"/>
      <c r="Q288" s="34"/>
      <c r="R288" s="34"/>
    </row>
    <row r="289" customFormat="false" ht="33.75" hidden="false" customHeight="true" outlineLevel="0" collapsed="false">
      <c r="A289" s="31"/>
      <c r="B289" s="42"/>
      <c r="C289" s="30"/>
      <c r="D289" s="30"/>
      <c r="E289" s="30"/>
      <c r="F289" s="37" t="str">
        <f aca="false">IF(A289="","",IF(G289&lt;&gt;"",G289,WORKDAY(A289,-2)))</f>
        <v/>
      </c>
      <c r="G289" s="31"/>
      <c r="H289" s="30"/>
      <c r="I289" s="30"/>
      <c r="J289" s="31"/>
      <c r="K289" s="30"/>
      <c r="L289" s="30"/>
      <c r="M289" s="30"/>
      <c r="N289" s="30"/>
      <c r="O289" s="30"/>
      <c r="P289" s="30"/>
      <c r="Q289" s="30"/>
      <c r="R289" s="30"/>
    </row>
    <row r="290" customFormat="false" ht="33.75" hidden="false" customHeight="true" outlineLevel="0" collapsed="false">
      <c r="A290" s="35"/>
      <c r="B290" s="43"/>
      <c r="C290" s="34"/>
      <c r="D290" s="34"/>
      <c r="E290" s="34"/>
      <c r="F290" s="37" t="str">
        <f aca="false">IF(A290="","",IF(G290&lt;&gt;"",G290,WORKDAY(A290,-2)))</f>
        <v/>
      </c>
      <c r="G290" s="35"/>
      <c r="H290" s="34"/>
      <c r="I290" s="34"/>
      <c r="J290" s="35"/>
      <c r="K290" s="34"/>
      <c r="L290" s="34"/>
      <c r="M290" s="34"/>
      <c r="N290" s="34"/>
      <c r="O290" s="34"/>
      <c r="P290" s="34"/>
      <c r="Q290" s="34"/>
      <c r="R290" s="34"/>
    </row>
    <row r="291" customFormat="false" ht="33.75" hidden="false" customHeight="true" outlineLevel="0" collapsed="false">
      <c r="A291" s="31"/>
      <c r="B291" s="42"/>
      <c r="C291" s="30"/>
      <c r="D291" s="30"/>
      <c r="E291" s="30"/>
      <c r="F291" s="37" t="str">
        <f aca="false">IF(A291="","",IF(G291&lt;&gt;"",G291,WORKDAY(A291,-2)))</f>
        <v/>
      </c>
      <c r="G291" s="31"/>
      <c r="H291" s="30"/>
      <c r="I291" s="30"/>
      <c r="J291" s="31"/>
      <c r="K291" s="30"/>
      <c r="L291" s="30"/>
      <c r="M291" s="30"/>
      <c r="N291" s="30"/>
      <c r="O291" s="30"/>
      <c r="P291" s="30"/>
      <c r="Q291" s="30"/>
      <c r="R291" s="30"/>
    </row>
    <row r="292" customFormat="false" ht="33.75" hidden="false" customHeight="true" outlineLevel="0" collapsed="false">
      <c r="A292" s="35"/>
      <c r="B292" s="43"/>
      <c r="C292" s="34"/>
      <c r="D292" s="34"/>
      <c r="E292" s="34"/>
      <c r="F292" s="37" t="str">
        <f aca="false">IF(A292="","",IF(G292&lt;&gt;"",G292,WORKDAY(A292,-2)))</f>
        <v/>
      </c>
      <c r="G292" s="35"/>
      <c r="H292" s="34"/>
      <c r="I292" s="34"/>
      <c r="J292" s="35"/>
      <c r="K292" s="34"/>
      <c r="L292" s="34"/>
      <c r="M292" s="34"/>
      <c r="N292" s="34"/>
      <c r="O292" s="34"/>
      <c r="P292" s="34"/>
      <c r="Q292" s="34"/>
      <c r="R292" s="34"/>
    </row>
    <row r="293" customFormat="false" ht="33.75" hidden="false" customHeight="true" outlineLevel="0" collapsed="false">
      <c r="A293" s="31"/>
      <c r="B293" s="42"/>
      <c r="C293" s="30"/>
      <c r="D293" s="30"/>
      <c r="E293" s="30"/>
      <c r="F293" s="37" t="str">
        <f aca="false">IF(A293="","",IF(G293&lt;&gt;"",G293,WORKDAY(A293,-2)))</f>
        <v/>
      </c>
      <c r="G293" s="31"/>
      <c r="H293" s="30"/>
      <c r="I293" s="30"/>
      <c r="J293" s="31"/>
      <c r="K293" s="30"/>
      <c r="L293" s="30"/>
      <c r="M293" s="30"/>
      <c r="N293" s="30"/>
      <c r="O293" s="30"/>
      <c r="P293" s="30"/>
      <c r="Q293" s="30"/>
      <c r="R293" s="30"/>
    </row>
    <row r="294" customFormat="false" ht="33.75" hidden="false" customHeight="true" outlineLevel="0" collapsed="false">
      <c r="A294" s="35"/>
      <c r="B294" s="43"/>
      <c r="C294" s="34"/>
      <c r="D294" s="34"/>
      <c r="E294" s="34"/>
      <c r="F294" s="37" t="str">
        <f aca="false">IF(A294="","",IF(G294&lt;&gt;"",G294,WORKDAY(A294,-2)))</f>
        <v/>
      </c>
      <c r="G294" s="35"/>
      <c r="H294" s="34"/>
      <c r="I294" s="34"/>
      <c r="J294" s="35"/>
      <c r="K294" s="34"/>
      <c r="L294" s="34"/>
      <c r="M294" s="34"/>
      <c r="N294" s="34"/>
      <c r="O294" s="34"/>
      <c r="P294" s="34"/>
      <c r="Q294" s="34"/>
      <c r="R294" s="34"/>
    </row>
    <row r="295" customFormat="false" ht="33.75" hidden="false" customHeight="true" outlineLevel="0" collapsed="false">
      <c r="A295" s="31"/>
      <c r="B295" s="42"/>
      <c r="C295" s="30"/>
      <c r="D295" s="30"/>
      <c r="E295" s="30"/>
      <c r="F295" s="37" t="str">
        <f aca="false">IF(A295="","",IF(G295&lt;&gt;"",G295,WORKDAY(A295,-2)))</f>
        <v/>
      </c>
      <c r="G295" s="31"/>
      <c r="H295" s="30"/>
      <c r="I295" s="30"/>
      <c r="J295" s="31"/>
      <c r="K295" s="30"/>
      <c r="L295" s="30"/>
      <c r="M295" s="30"/>
      <c r="N295" s="30"/>
      <c r="O295" s="30"/>
      <c r="P295" s="30"/>
      <c r="Q295" s="30"/>
      <c r="R295" s="30"/>
    </row>
    <row r="296" customFormat="false" ht="33.75" hidden="false" customHeight="true" outlineLevel="0" collapsed="false">
      <c r="A296" s="35"/>
      <c r="B296" s="43"/>
      <c r="C296" s="34"/>
      <c r="D296" s="34"/>
      <c r="E296" s="34"/>
      <c r="F296" s="37" t="str">
        <f aca="false">IF(A296="","",IF(G296&lt;&gt;"",G296,WORKDAY(A296,-2)))</f>
        <v/>
      </c>
      <c r="G296" s="35"/>
      <c r="H296" s="34"/>
      <c r="I296" s="34"/>
      <c r="J296" s="35"/>
      <c r="K296" s="34"/>
      <c r="L296" s="34"/>
      <c r="M296" s="34"/>
      <c r="N296" s="34"/>
      <c r="O296" s="34"/>
      <c r="P296" s="34"/>
      <c r="Q296" s="34"/>
      <c r="R296" s="34"/>
    </row>
    <row r="297" customFormat="false" ht="33.75" hidden="false" customHeight="true" outlineLevel="0" collapsed="false">
      <c r="A297" s="31"/>
      <c r="B297" s="42"/>
      <c r="C297" s="30"/>
      <c r="D297" s="30"/>
      <c r="E297" s="30"/>
      <c r="F297" s="37" t="str">
        <f aca="false">IF(A297="","",IF(G297&lt;&gt;"",G297,WORKDAY(A297,-2)))</f>
        <v/>
      </c>
      <c r="G297" s="31"/>
      <c r="H297" s="30"/>
      <c r="I297" s="30"/>
      <c r="J297" s="31"/>
      <c r="K297" s="30"/>
      <c r="L297" s="30"/>
      <c r="M297" s="30"/>
      <c r="N297" s="30"/>
      <c r="O297" s="30"/>
      <c r="P297" s="30"/>
      <c r="Q297" s="30"/>
      <c r="R297" s="30"/>
    </row>
    <row r="298" customFormat="false" ht="33.75" hidden="false" customHeight="true" outlineLevel="0" collapsed="false">
      <c r="A298" s="35"/>
      <c r="B298" s="43"/>
      <c r="C298" s="34"/>
      <c r="D298" s="34"/>
      <c r="E298" s="34"/>
      <c r="F298" s="37" t="str">
        <f aca="false">IF(A298="","",IF(G298&lt;&gt;"",G298,WORKDAY(A298,-2)))</f>
        <v/>
      </c>
      <c r="G298" s="35"/>
      <c r="H298" s="34"/>
      <c r="I298" s="34"/>
      <c r="J298" s="35"/>
      <c r="K298" s="34"/>
      <c r="L298" s="34"/>
      <c r="M298" s="34"/>
      <c r="N298" s="34"/>
      <c r="O298" s="34"/>
      <c r="P298" s="34"/>
      <c r="Q298" s="34"/>
      <c r="R298" s="34"/>
    </row>
    <row r="299" customFormat="false" ht="33.75" hidden="false" customHeight="true" outlineLevel="0" collapsed="false">
      <c r="A299" s="31"/>
      <c r="B299" s="42"/>
      <c r="C299" s="30"/>
      <c r="D299" s="30"/>
      <c r="E299" s="30"/>
      <c r="F299" s="37" t="str">
        <f aca="false">IF(A299="","",IF(G299&lt;&gt;"",G299,WORKDAY(A299,-2)))</f>
        <v/>
      </c>
      <c r="G299" s="31"/>
      <c r="H299" s="30"/>
      <c r="I299" s="30"/>
      <c r="J299" s="31"/>
      <c r="K299" s="30"/>
      <c r="L299" s="30"/>
      <c r="M299" s="30"/>
      <c r="N299" s="30"/>
      <c r="O299" s="30"/>
      <c r="P299" s="30"/>
      <c r="Q299" s="30"/>
      <c r="R299" s="30"/>
    </row>
    <row r="300" customFormat="false" ht="33.75" hidden="false" customHeight="true" outlineLevel="0" collapsed="false">
      <c r="A300" s="35"/>
      <c r="B300" s="43"/>
      <c r="C300" s="34"/>
      <c r="D300" s="34"/>
      <c r="E300" s="34"/>
      <c r="F300" s="37" t="str">
        <f aca="false">IF(A300="","",IF(G300&lt;&gt;"",G300,WORKDAY(A300,-2)))</f>
        <v/>
      </c>
      <c r="G300" s="35"/>
      <c r="H300" s="34"/>
      <c r="I300" s="34"/>
      <c r="J300" s="35"/>
      <c r="K300" s="34"/>
      <c r="L300" s="34"/>
      <c r="M300" s="34"/>
      <c r="N300" s="34"/>
      <c r="O300" s="34"/>
      <c r="P300" s="34"/>
      <c r="Q300" s="34"/>
      <c r="R300" s="34"/>
    </row>
    <row r="301" customFormat="false" ht="33.75" hidden="false" customHeight="true" outlineLevel="0" collapsed="false">
      <c r="A301" s="31"/>
      <c r="B301" s="42"/>
      <c r="C301" s="30"/>
      <c r="D301" s="30"/>
      <c r="E301" s="30"/>
      <c r="F301" s="37" t="str">
        <f aca="false">IF(A301="","",IF(G301&lt;&gt;"",G301,WORKDAY(A301,-2)))</f>
        <v/>
      </c>
      <c r="G301" s="31"/>
      <c r="H301" s="30"/>
      <c r="I301" s="30"/>
      <c r="J301" s="31"/>
      <c r="K301" s="30"/>
      <c r="L301" s="30"/>
      <c r="M301" s="30"/>
      <c r="N301" s="30"/>
      <c r="O301" s="30"/>
      <c r="P301" s="30"/>
      <c r="Q301" s="30"/>
      <c r="R301" s="30"/>
    </row>
    <row r="302" customFormat="false" ht="33.75" hidden="false" customHeight="true" outlineLevel="0" collapsed="false">
      <c r="A302" s="35"/>
      <c r="B302" s="43"/>
      <c r="C302" s="34"/>
      <c r="D302" s="34"/>
      <c r="E302" s="34"/>
      <c r="F302" s="37" t="str">
        <f aca="false">IF(A302="","",IF(G302&lt;&gt;"",G302,WORKDAY(A302,-2)))</f>
        <v/>
      </c>
      <c r="G302" s="35"/>
      <c r="H302" s="34"/>
      <c r="I302" s="34"/>
      <c r="J302" s="35"/>
      <c r="K302" s="34"/>
      <c r="L302" s="34"/>
      <c r="M302" s="34"/>
      <c r="N302" s="34"/>
      <c r="O302" s="34"/>
      <c r="P302" s="34"/>
      <c r="Q302" s="34"/>
      <c r="R302" s="34"/>
    </row>
    <row r="303" customFormat="false" ht="33.75" hidden="false" customHeight="true" outlineLevel="0" collapsed="false">
      <c r="A303" s="31"/>
      <c r="B303" s="42"/>
      <c r="C303" s="30"/>
      <c r="D303" s="30"/>
      <c r="E303" s="30"/>
      <c r="F303" s="37" t="str">
        <f aca="false">IF(A303="","",IF(G303&lt;&gt;"",G303,WORKDAY(A303,-2)))</f>
        <v/>
      </c>
      <c r="G303" s="31"/>
      <c r="H303" s="30"/>
      <c r="I303" s="30"/>
      <c r="J303" s="31"/>
      <c r="K303" s="30"/>
      <c r="L303" s="30"/>
      <c r="M303" s="30"/>
      <c r="N303" s="30"/>
      <c r="O303" s="30"/>
      <c r="P303" s="30"/>
      <c r="Q303" s="30"/>
      <c r="R303" s="30"/>
    </row>
    <row r="304" customFormat="false" ht="33.75" hidden="false" customHeight="true" outlineLevel="0" collapsed="false">
      <c r="A304" s="35"/>
      <c r="B304" s="43"/>
      <c r="C304" s="34"/>
      <c r="D304" s="34"/>
      <c r="E304" s="34"/>
      <c r="F304" s="37" t="str">
        <f aca="false">IF(A304="","",IF(G304&lt;&gt;"",G304,WORKDAY(A304,-2)))</f>
        <v/>
      </c>
      <c r="G304" s="35"/>
      <c r="H304" s="34"/>
      <c r="I304" s="34"/>
      <c r="J304" s="35"/>
      <c r="K304" s="34"/>
      <c r="L304" s="34"/>
      <c r="M304" s="34"/>
      <c r="N304" s="34"/>
      <c r="O304" s="34"/>
      <c r="P304" s="34"/>
      <c r="Q304" s="34"/>
      <c r="R304" s="34"/>
    </row>
  </sheetData>
  <conditionalFormatting sqref="A5:R304">
    <cfRule type="expression" priority="2" aboveAverage="0" equalAverage="0" bottom="0" percent="0" rank="0" text="" dxfId="5">
      <formula>$E5="Annullata"</formula>
    </cfRule>
    <cfRule type="expression" priority="3" aboveAverage="0" equalAverage="0" bottom="0" percent="0" rank="0" text="" dxfId="4">
      <formula>$E5="Completata"</formula>
    </cfRule>
  </conditionalFormatting>
  <conditionalFormatting sqref="F5:F304">
    <cfRule type="expression" priority="4" aboveAverage="0" equalAverage="0" bottom="0" percent="0" rank="0" text="" dxfId="3">
      <formula>AND(ISNUMBER(F5),NOT(OR($E5="Completata",$E5="Annullata")),F5&gt;=TODAY(),F5-TODAY()&lt;=3)</formula>
    </cfRule>
    <cfRule type="expression" priority="5" aboveAverage="0" equalAverage="0" bottom="0" percent="0" rank="0" text="" dxfId="2">
      <formula>AND(ISNUMBER(F5),NOT(OR($E5="Completata",$E5="Annullata")),F5&lt;TODAY(),$A5&gt;=TODAY())</formula>
    </cfRule>
  </conditionalFormatting>
  <dataValidations count="4">
    <dataValidation allowBlank="true" errorStyle="stop" operator="between" prompt="Scegli dall'elenco della scheda Famiglia, oppure scrivi (es. «Tutti»)." promptTitle="Scegli o scrivi" showDropDown="false" showErrorMessage="false" showInputMessage="false" sqref="C5:C304" type="list">
      <formula1>Famiglia!$A$5:$A$34</formula1>
      <formula2>0</formula2>
    </dataValidation>
    <dataValidation allowBlank="true" errorStyle="stop" operator="between" showDropDown="false" showErrorMessage="true" showInputMessage="false" sqref="E5:E304" type="list">
      <formula1>"Programmata,Completata,Annullata"</formula1>
      <formula2>0</formula2>
    </dataValidation>
    <dataValidation allowBlank="true" errorStyle="stop" operator="between" showDropDown="false" showErrorMessage="true" showInputMessage="false" sqref="H5:H304" type="list">
      <formula1>"Da pagare,Pagato,Esente,Privata"</formula1>
      <formula2>0</formula2>
    </dataValidation>
    <dataValidation allowBlank="true" errorStyle="stop" operator="between" showDropDown="false" showErrorMessage="true" showInputMessage="false" sqref="I5:I304" type="list">
      <formula1>"U (72 ore),B (10 giorni),D (30/60 giorni),P (120 giorni),Controllo,Privata"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3" min="2" style="0" width="13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20"/>
    <col collapsed="false" customWidth="true" hidden="false" outlineLevel="0" max="8" min="8" style="0" width="28"/>
  </cols>
  <sheetData>
    <row r="1" customFormat="false" ht="27.75" hidden="false" customHeight="true" outlineLevel="0" collapsed="false">
      <c r="A1" s="28" t="s">
        <v>115</v>
      </c>
    </row>
    <row r="2" customFormat="false" ht="15" hidden="false" customHeight="false" outlineLevel="0" collapsed="false">
      <c r="A2" s="2" t="s">
        <v>116</v>
      </c>
    </row>
    <row r="4" customFormat="false" ht="31.5" hidden="false" customHeight="true" outlineLevel="0" collapsed="false">
      <c r="A4" s="29" t="s">
        <v>117</v>
      </c>
      <c r="B4" s="29" t="s">
        <v>118</v>
      </c>
      <c r="C4" s="29" t="s">
        <v>119</v>
      </c>
      <c r="D4" s="29" t="s">
        <v>63</v>
      </c>
      <c r="E4" s="29" t="s">
        <v>64</v>
      </c>
      <c r="F4" s="29" t="s">
        <v>120</v>
      </c>
      <c r="G4" s="29" t="s">
        <v>121</v>
      </c>
      <c r="H4" s="29" t="s">
        <v>45</v>
      </c>
    </row>
    <row r="5" customFormat="false" ht="19.5" hidden="false" customHeight="true" outlineLevel="0" collapsed="false">
      <c r="A5" s="30" t="s">
        <v>122</v>
      </c>
      <c r="B5" s="30" t="s">
        <v>46</v>
      </c>
      <c r="C5" s="31" t="n">
        <v>46563</v>
      </c>
      <c r="D5" s="32" t="n">
        <f aca="true">IF(C5="","",C5-TODAY())</f>
        <v>250</v>
      </c>
      <c r="E5" s="32" t="str">
        <f aca="false">IF(C5="","",IF(D5&lt;0,"Scaduto",IF(D5&lt;=60,"Da rinnovare","Ok")))</f>
        <v>Ok</v>
      </c>
      <c r="F5" s="30" t="s">
        <v>123</v>
      </c>
      <c r="G5" s="30" t="s">
        <v>124</v>
      </c>
      <c r="H5" s="33" t="s">
        <v>52</v>
      </c>
    </row>
    <row r="6" customFormat="false" ht="19.5" hidden="false" customHeight="true" outlineLevel="0" collapsed="false">
      <c r="A6" s="34" t="s">
        <v>125</v>
      </c>
      <c r="B6" s="34" t="s">
        <v>53</v>
      </c>
      <c r="C6" s="35" t="n">
        <v>46353</v>
      </c>
      <c r="D6" s="32" t="n">
        <f aca="true">IF(C6="","",C6-TODAY())</f>
        <v>40</v>
      </c>
      <c r="E6" s="32" t="str">
        <f aca="false">IF(C6="","",IF(D6&lt;0,"Scaduto",IF(D6&lt;=60,"Da rinnovare","Ok")))</f>
        <v>Da rinnovare</v>
      </c>
      <c r="F6" s="34" t="s">
        <v>126</v>
      </c>
      <c r="G6" s="34" t="s">
        <v>127</v>
      </c>
      <c r="H6" s="41" t="s">
        <v>128</v>
      </c>
    </row>
    <row r="7" customFormat="false" ht="19.5" hidden="false" customHeight="true" outlineLevel="0" collapsed="false">
      <c r="A7" s="30" t="s">
        <v>129</v>
      </c>
      <c r="B7" s="30" t="s">
        <v>46</v>
      </c>
      <c r="C7" s="31"/>
      <c r="D7" s="32" t="str">
        <f aca="true">IF(C7="","",C7-TODAY())</f>
        <v/>
      </c>
      <c r="E7" s="32" t="str">
        <f aca="false">IF(C7="","",IF(D7&lt;0,"Scaduto",IF(D7&lt;=60,"Da rinnovare","Ok")))</f>
        <v/>
      </c>
      <c r="F7" s="30" t="s">
        <v>123</v>
      </c>
      <c r="G7" s="30" t="s">
        <v>44</v>
      </c>
      <c r="H7" s="33" t="s">
        <v>130</v>
      </c>
    </row>
    <row r="8" customFormat="false" ht="19.5" hidden="false" customHeight="true" outlineLevel="0" collapsed="false">
      <c r="A8" s="34"/>
      <c r="B8" s="34"/>
      <c r="C8" s="35"/>
      <c r="D8" s="32" t="str">
        <f aca="true">IF(C8="","",C8-TODAY())</f>
        <v/>
      </c>
      <c r="E8" s="32" t="str">
        <f aca="false">IF(C8="","",IF(D8&lt;0,"Scaduto",IF(D8&lt;=60,"Da rinnovare","Ok")))</f>
        <v/>
      </c>
      <c r="F8" s="34"/>
      <c r="G8" s="34"/>
      <c r="H8" s="34"/>
    </row>
    <row r="9" customFormat="false" ht="19.5" hidden="false" customHeight="true" outlineLevel="0" collapsed="false">
      <c r="A9" s="30"/>
      <c r="B9" s="30"/>
      <c r="C9" s="31"/>
      <c r="D9" s="32" t="str">
        <f aca="true">IF(C9="","",C9-TODAY())</f>
        <v/>
      </c>
      <c r="E9" s="32" t="str">
        <f aca="false">IF(C9="","",IF(D9&lt;0,"Scaduto",IF(D9&lt;=60,"Da rinnovare","Ok")))</f>
        <v/>
      </c>
      <c r="F9" s="30"/>
      <c r="G9" s="30"/>
      <c r="H9" s="30"/>
    </row>
    <row r="10" customFormat="false" ht="19.5" hidden="false" customHeight="true" outlineLevel="0" collapsed="false">
      <c r="A10" s="34"/>
      <c r="B10" s="34"/>
      <c r="C10" s="35"/>
      <c r="D10" s="32" t="str">
        <f aca="true">IF(C10="","",C10-TODAY())</f>
        <v/>
      </c>
      <c r="E10" s="32" t="str">
        <f aca="false">IF(C10="","",IF(D10&lt;0,"Scaduto",IF(D10&lt;=60,"Da rinnovare","Ok")))</f>
        <v/>
      </c>
      <c r="F10" s="34"/>
      <c r="G10" s="34"/>
      <c r="H10" s="34"/>
    </row>
    <row r="11" customFormat="false" ht="19.5" hidden="false" customHeight="true" outlineLevel="0" collapsed="false">
      <c r="A11" s="30"/>
      <c r="B11" s="30"/>
      <c r="C11" s="31"/>
      <c r="D11" s="32" t="str">
        <f aca="true">IF(C11="","",C11-TODAY())</f>
        <v/>
      </c>
      <c r="E11" s="32" t="str">
        <f aca="false">IF(C11="","",IF(D11&lt;0,"Scaduto",IF(D11&lt;=60,"Da rinnovare","Ok")))</f>
        <v/>
      </c>
      <c r="F11" s="30"/>
      <c r="G11" s="30"/>
      <c r="H11" s="30"/>
    </row>
    <row r="12" customFormat="false" ht="19.5" hidden="false" customHeight="true" outlineLevel="0" collapsed="false">
      <c r="A12" s="34"/>
      <c r="B12" s="34"/>
      <c r="C12" s="35"/>
      <c r="D12" s="32" t="str">
        <f aca="true">IF(C12="","",C12-TODAY())</f>
        <v/>
      </c>
      <c r="E12" s="32" t="str">
        <f aca="false">IF(C12="","",IF(D12&lt;0,"Scaduto",IF(D12&lt;=60,"Da rinnovare","Ok")))</f>
        <v/>
      </c>
      <c r="F12" s="34"/>
      <c r="G12" s="34"/>
      <c r="H12" s="34"/>
    </row>
    <row r="13" customFormat="false" ht="19.5" hidden="false" customHeight="true" outlineLevel="0" collapsed="false">
      <c r="A13" s="30"/>
      <c r="B13" s="30"/>
      <c r="C13" s="31"/>
      <c r="D13" s="32" t="str">
        <f aca="true">IF(C13="","",C13-TODAY())</f>
        <v/>
      </c>
      <c r="E13" s="32" t="str">
        <f aca="false">IF(C13="","",IF(D13&lt;0,"Scaduto",IF(D13&lt;=60,"Da rinnovare","Ok")))</f>
        <v/>
      </c>
      <c r="F13" s="30"/>
      <c r="G13" s="30"/>
      <c r="H13" s="30"/>
    </row>
    <row r="14" customFormat="false" ht="19.5" hidden="false" customHeight="true" outlineLevel="0" collapsed="false">
      <c r="A14" s="34"/>
      <c r="B14" s="34"/>
      <c r="C14" s="35"/>
      <c r="D14" s="32" t="str">
        <f aca="true">IF(C14="","",C14-TODAY())</f>
        <v/>
      </c>
      <c r="E14" s="32" t="str">
        <f aca="false">IF(C14="","",IF(D14&lt;0,"Scaduto",IF(D14&lt;=60,"Da rinnovare","Ok")))</f>
        <v/>
      </c>
      <c r="F14" s="34"/>
      <c r="G14" s="34"/>
      <c r="H14" s="34"/>
    </row>
    <row r="15" customFormat="false" ht="19.5" hidden="false" customHeight="true" outlineLevel="0" collapsed="false">
      <c r="A15" s="30"/>
      <c r="B15" s="30"/>
      <c r="C15" s="31"/>
      <c r="D15" s="32" t="str">
        <f aca="true">IF(C15="","",C15-TODAY())</f>
        <v/>
      </c>
      <c r="E15" s="32" t="str">
        <f aca="false">IF(C15="","",IF(D15&lt;0,"Scaduto",IF(D15&lt;=60,"Da rinnovare","Ok")))</f>
        <v/>
      </c>
      <c r="F15" s="30"/>
      <c r="G15" s="30"/>
      <c r="H15" s="30"/>
    </row>
    <row r="16" customFormat="false" ht="19.5" hidden="false" customHeight="true" outlineLevel="0" collapsed="false">
      <c r="A16" s="34"/>
      <c r="B16" s="34"/>
      <c r="C16" s="35"/>
      <c r="D16" s="32" t="str">
        <f aca="true">IF(C16="","",C16-TODAY())</f>
        <v/>
      </c>
      <c r="E16" s="32" t="str">
        <f aca="false">IF(C16="","",IF(D16&lt;0,"Scaduto",IF(D16&lt;=60,"Da rinnovare","Ok")))</f>
        <v/>
      </c>
      <c r="F16" s="34"/>
      <c r="G16" s="34"/>
      <c r="H16" s="34"/>
    </row>
    <row r="17" customFormat="false" ht="19.5" hidden="false" customHeight="true" outlineLevel="0" collapsed="false">
      <c r="A17" s="30"/>
      <c r="B17" s="30"/>
      <c r="C17" s="31"/>
      <c r="D17" s="32" t="str">
        <f aca="true">IF(C17="","",C17-TODAY())</f>
        <v/>
      </c>
      <c r="E17" s="32" t="str">
        <f aca="false">IF(C17="","",IF(D17&lt;0,"Scaduto",IF(D17&lt;=60,"Da rinnovare","Ok")))</f>
        <v/>
      </c>
      <c r="F17" s="30"/>
      <c r="G17" s="30"/>
      <c r="H17" s="30"/>
    </row>
    <row r="18" customFormat="false" ht="19.5" hidden="false" customHeight="true" outlineLevel="0" collapsed="false">
      <c r="A18" s="34"/>
      <c r="B18" s="34"/>
      <c r="C18" s="35"/>
      <c r="D18" s="32" t="str">
        <f aca="true">IF(C18="","",C18-TODAY())</f>
        <v/>
      </c>
      <c r="E18" s="32" t="str">
        <f aca="false">IF(C18="","",IF(D18&lt;0,"Scaduto",IF(D18&lt;=60,"Da rinnovare","Ok")))</f>
        <v/>
      </c>
      <c r="F18" s="34"/>
      <c r="G18" s="34"/>
      <c r="H18" s="34"/>
    </row>
    <row r="19" customFormat="false" ht="19.5" hidden="false" customHeight="true" outlineLevel="0" collapsed="false">
      <c r="A19" s="30"/>
      <c r="B19" s="30"/>
      <c r="C19" s="31"/>
      <c r="D19" s="32" t="str">
        <f aca="true">IF(C19="","",C19-TODAY())</f>
        <v/>
      </c>
      <c r="E19" s="32" t="str">
        <f aca="false">IF(C19="","",IF(D19&lt;0,"Scaduto",IF(D19&lt;=60,"Da rinnovare","Ok")))</f>
        <v/>
      </c>
      <c r="F19" s="30"/>
      <c r="G19" s="30"/>
      <c r="H19" s="30"/>
    </row>
    <row r="20" customFormat="false" ht="19.5" hidden="false" customHeight="true" outlineLevel="0" collapsed="false">
      <c r="A20" s="34"/>
      <c r="B20" s="34"/>
      <c r="C20" s="35"/>
      <c r="D20" s="32" t="str">
        <f aca="true">IF(C20="","",C20-TODAY())</f>
        <v/>
      </c>
      <c r="E20" s="32" t="str">
        <f aca="false">IF(C20="","",IF(D20&lt;0,"Scaduto",IF(D20&lt;=60,"Da rinnovare","Ok")))</f>
        <v/>
      </c>
      <c r="F20" s="34"/>
      <c r="G20" s="34"/>
      <c r="H20" s="34"/>
    </row>
    <row r="21" customFormat="false" ht="19.5" hidden="false" customHeight="true" outlineLevel="0" collapsed="false">
      <c r="A21" s="30"/>
      <c r="B21" s="30"/>
      <c r="C21" s="31"/>
      <c r="D21" s="32" t="str">
        <f aca="true">IF(C21="","",C21-TODAY())</f>
        <v/>
      </c>
      <c r="E21" s="32" t="str">
        <f aca="false">IF(C21="","",IF(D21&lt;0,"Scaduto",IF(D21&lt;=60,"Da rinnovare","Ok")))</f>
        <v/>
      </c>
      <c r="F21" s="30"/>
      <c r="G21" s="30"/>
      <c r="H21" s="30"/>
    </row>
    <row r="22" customFormat="false" ht="19.5" hidden="false" customHeight="true" outlineLevel="0" collapsed="false">
      <c r="A22" s="34"/>
      <c r="B22" s="34"/>
      <c r="C22" s="35"/>
      <c r="D22" s="32" t="str">
        <f aca="true">IF(C22="","",C22-TODAY())</f>
        <v/>
      </c>
      <c r="E22" s="32" t="str">
        <f aca="false">IF(C22="","",IF(D22&lt;0,"Scaduto",IF(D22&lt;=60,"Da rinnovare","Ok")))</f>
        <v/>
      </c>
      <c r="F22" s="34"/>
      <c r="G22" s="34"/>
      <c r="H22" s="34"/>
    </row>
    <row r="23" customFormat="false" ht="19.5" hidden="false" customHeight="true" outlineLevel="0" collapsed="false">
      <c r="A23" s="30"/>
      <c r="B23" s="30"/>
      <c r="C23" s="31"/>
      <c r="D23" s="32" t="str">
        <f aca="true">IF(C23="","",C23-TODAY())</f>
        <v/>
      </c>
      <c r="E23" s="32" t="str">
        <f aca="false">IF(C23="","",IF(D23&lt;0,"Scaduto",IF(D23&lt;=60,"Da rinnovare","Ok")))</f>
        <v/>
      </c>
      <c r="F23" s="30"/>
      <c r="G23" s="30"/>
      <c r="H23" s="30"/>
    </row>
    <row r="24" customFormat="false" ht="19.5" hidden="false" customHeight="true" outlineLevel="0" collapsed="false">
      <c r="A24" s="34"/>
      <c r="B24" s="34"/>
      <c r="C24" s="35"/>
      <c r="D24" s="32" t="str">
        <f aca="true">IF(C24="","",C24-TODAY())</f>
        <v/>
      </c>
      <c r="E24" s="32" t="str">
        <f aca="false">IF(C24="","",IF(D24&lt;0,"Scaduto",IF(D24&lt;=60,"Da rinnovare","Ok")))</f>
        <v/>
      </c>
      <c r="F24" s="34"/>
      <c r="G24" s="34"/>
      <c r="H24" s="34"/>
    </row>
    <row r="25" customFormat="false" ht="19.5" hidden="false" customHeight="true" outlineLevel="0" collapsed="false">
      <c r="A25" s="30"/>
      <c r="B25" s="30"/>
      <c r="C25" s="31"/>
      <c r="D25" s="32" t="str">
        <f aca="true">IF(C25="","",C25-TODAY())</f>
        <v/>
      </c>
      <c r="E25" s="32" t="str">
        <f aca="false">IF(C25="","",IF(D25&lt;0,"Scaduto",IF(D25&lt;=60,"Da rinnovare","Ok")))</f>
        <v/>
      </c>
      <c r="F25" s="30"/>
      <c r="G25" s="30"/>
      <c r="H25" s="30"/>
    </row>
    <row r="26" customFormat="false" ht="19.5" hidden="false" customHeight="true" outlineLevel="0" collapsed="false">
      <c r="A26" s="34"/>
      <c r="B26" s="34"/>
      <c r="C26" s="35"/>
      <c r="D26" s="32" t="str">
        <f aca="true">IF(C26="","",C26-TODAY())</f>
        <v/>
      </c>
      <c r="E26" s="32" t="str">
        <f aca="false">IF(C26="","",IF(D26&lt;0,"Scaduto",IF(D26&lt;=60,"Da rinnovare","Ok")))</f>
        <v/>
      </c>
      <c r="F26" s="34"/>
      <c r="G26" s="34"/>
      <c r="H26" s="34"/>
    </row>
    <row r="27" customFormat="false" ht="19.5" hidden="false" customHeight="true" outlineLevel="0" collapsed="false">
      <c r="A27" s="30"/>
      <c r="B27" s="30"/>
      <c r="C27" s="31"/>
      <c r="D27" s="32" t="str">
        <f aca="true">IF(C27="","",C27-TODAY())</f>
        <v/>
      </c>
      <c r="E27" s="32" t="str">
        <f aca="false">IF(C27="","",IF(D27&lt;0,"Scaduto",IF(D27&lt;=60,"Da rinnovare","Ok")))</f>
        <v/>
      </c>
      <c r="F27" s="30"/>
      <c r="G27" s="30"/>
      <c r="H27" s="30"/>
    </row>
    <row r="28" customFormat="false" ht="19.5" hidden="false" customHeight="true" outlineLevel="0" collapsed="false">
      <c r="A28" s="34"/>
      <c r="B28" s="34"/>
      <c r="C28" s="35"/>
      <c r="D28" s="32" t="str">
        <f aca="true">IF(C28="","",C28-TODAY())</f>
        <v/>
      </c>
      <c r="E28" s="32" t="str">
        <f aca="false">IF(C28="","",IF(D28&lt;0,"Scaduto",IF(D28&lt;=60,"Da rinnovare","Ok")))</f>
        <v/>
      </c>
      <c r="F28" s="34"/>
      <c r="G28" s="34"/>
      <c r="H28" s="34"/>
    </row>
    <row r="29" customFormat="false" ht="19.5" hidden="false" customHeight="true" outlineLevel="0" collapsed="false">
      <c r="A29" s="30"/>
      <c r="B29" s="30"/>
      <c r="C29" s="31"/>
      <c r="D29" s="32" t="str">
        <f aca="true">IF(C29="","",C29-TODAY())</f>
        <v/>
      </c>
      <c r="E29" s="32" t="str">
        <f aca="false">IF(C29="","",IF(D29&lt;0,"Scaduto",IF(D29&lt;=60,"Da rinnovare","Ok")))</f>
        <v/>
      </c>
      <c r="F29" s="30"/>
      <c r="G29" s="30"/>
      <c r="H29" s="30"/>
    </row>
    <row r="30" customFormat="false" ht="19.5" hidden="false" customHeight="true" outlineLevel="0" collapsed="false">
      <c r="A30" s="34"/>
      <c r="B30" s="34"/>
      <c r="C30" s="35"/>
      <c r="D30" s="32" t="str">
        <f aca="true">IF(C30="","",C30-TODAY())</f>
        <v/>
      </c>
      <c r="E30" s="32" t="str">
        <f aca="false">IF(C30="","",IF(D30&lt;0,"Scaduto",IF(D30&lt;=60,"Da rinnovare","Ok")))</f>
        <v/>
      </c>
      <c r="F30" s="34"/>
      <c r="G30" s="34"/>
      <c r="H30" s="34"/>
    </row>
    <row r="31" customFormat="false" ht="19.5" hidden="false" customHeight="true" outlineLevel="0" collapsed="false">
      <c r="A31" s="30"/>
      <c r="B31" s="30"/>
      <c r="C31" s="31"/>
      <c r="D31" s="32" t="str">
        <f aca="true">IF(C31="","",C31-TODAY())</f>
        <v/>
      </c>
      <c r="E31" s="32" t="str">
        <f aca="false">IF(C31="","",IF(D31&lt;0,"Scaduto",IF(D31&lt;=60,"Da rinnovare","Ok")))</f>
        <v/>
      </c>
      <c r="F31" s="30"/>
      <c r="G31" s="30"/>
      <c r="H31" s="30"/>
    </row>
    <row r="32" customFormat="false" ht="19.5" hidden="false" customHeight="true" outlineLevel="0" collapsed="false">
      <c r="A32" s="34"/>
      <c r="B32" s="34"/>
      <c r="C32" s="35"/>
      <c r="D32" s="32" t="str">
        <f aca="true">IF(C32="","",C32-TODAY())</f>
        <v/>
      </c>
      <c r="E32" s="32" t="str">
        <f aca="false">IF(C32="","",IF(D32&lt;0,"Scaduto",IF(D32&lt;=60,"Da rinnovare","Ok")))</f>
        <v/>
      </c>
      <c r="F32" s="34"/>
      <c r="G32" s="34"/>
      <c r="H32" s="34"/>
    </row>
    <row r="33" customFormat="false" ht="19.5" hidden="false" customHeight="true" outlineLevel="0" collapsed="false">
      <c r="A33" s="30"/>
      <c r="B33" s="30"/>
      <c r="C33" s="31"/>
      <c r="D33" s="32" t="str">
        <f aca="true">IF(C33="","",C33-TODAY())</f>
        <v/>
      </c>
      <c r="E33" s="32" t="str">
        <f aca="false">IF(C33="","",IF(D33&lt;0,"Scaduto",IF(D33&lt;=60,"Da rinnovare","Ok")))</f>
        <v/>
      </c>
      <c r="F33" s="30"/>
      <c r="G33" s="30"/>
      <c r="H33" s="30"/>
    </row>
    <row r="34" customFormat="false" ht="19.5" hidden="false" customHeight="true" outlineLevel="0" collapsed="false">
      <c r="A34" s="34"/>
      <c r="B34" s="34"/>
      <c r="C34" s="35"/>
      <c r="D34" s="32" t="str">
        <f aca="true">IF(C34="","",C34-TODAY())</f>
        <v/>
      </c>
      <c r="E34" s="32" t="str">
        <f aca="false">IF(C34="","",IF(D34&lt;0,"Scaduto",IF(D34&lt;=60,"Da rinnovare","Ok")))</f>
        <v/>
      </c>
      <c r="F34" s="34"/>
      <c r="G34" s="34"/>
      <c r="H34" s="34"/>
    </row>
    <row r="35" customFormat="false" ht="19.5" hidden="false" customHeight="true" outlineLevel="0" collapsed="false">
      <c r="A35" s="30"/>
      <c r="B35" s="30"/>
      <c r="C35" s="31"/>
      <c r="D35" s="32" t="str">
        <f aca="true">IF(C35="","",C35-TODAY())</f>
        <v/>
      </c>
      <c r="E35" s="32" t="str">
        <f aca="false">IF(C35="","",IF(D35&lt;0,"Scaduto",IF(D35&lt;=60,"Da rinnovare","Ok")))</f>
        <v/>
      </c>
      <c r="F35" s="30"/>
      <c r="G35" s="30"/>
      <c r="H35" s="30"/>
    </row>
    <row r="36" customFormat="false" ht="19.5" hidden="false" customHeight="true" outlineLevel="0" collapsed="false">
      <c r="A36" s="34"/>
      <c r="B36" s="34"/>
      <c r="C36" s="35"/>
      <c r="D36" s="32" t="str">
        <f aca="true">IF(C36="","",C36-TODAY())</f>
        <v/>
      </c>
      <c r="E36" s="32" t="str">
        <f aca="false">IF(C36="","",IF(D36&lt;0,"Scaduto",IF(D36&lt;=60,"Da rinnovare","Ok")))</f>
        <v/>
      </c>
      <c r="F36" s="34"/>
      <c r="G36" s="34"/>
      <c r="H36" s="34"/>
    </row>
    <row r="37" customFormat="false" ht="19.5" hidden="false" customHeight="true" outlineLevel="0" collapsed="false">
      <c r="A37" s="30"/>
      <c r="B37" s="30"/>
      <c r="C37" s="31"/>
      <c r="D37" s="32" t="str">
        <f aca="true">IF(C37="","",C37-TODAY())</f>
        <v/>
      </c>
      <c r="E37" s="32" t="str">
        <f aca="false">IF(C37="","",IF(D37&lt;0,"Scaduto",IF(D37&lt;=60,"Da rinnovare","Ok")))</f>
        <v/>
      </c>
      <c r="F37" s="30"/>
      <c r="G37" s="30"/>
      <c r="H37" s="30"/>
    </row>
    <row r="38" customFormat="false" ht="19.5" hidden="false" customHeight="true" outlineLevel="0" collapsed="false">
      <c r="A38" s="34"/>
      <c r="B38" s="34"/>
      <c r="C38" s="35"/>
      <c r="D38" s="32" t="str">
        <f aca="true">IF(C38="","",C38-TODAY())</f>
        <v/>
      </c>
      <c r="E38" s="32" t="str">
        <f aca="false">IF(C38="","",IF(D38&lt;0,"Scaduto",IF(D38&lt;=60,"Da rinnovare","Ok")))</f>
        <v/>
      </c>
      <c r="F38" s="34"/>
      <c r="G38" s="34"/>
      <c r="H38" s="34"/>
    </row>
    <row r="39" customFormat="false" ht="19.5" hidden="false" customHeight="true" outlineLevel="0" collapsed="false">
      <c r="A39" s="30"/>
      <c r="B39" s="30"/>
      <c r="C39" s="31"/>
      <c r="D39" s="32" t="str">
        <f aca="true">IF(C39="","",C39-TODAY())</f>
        <v/>
      </c>
      <c r="E39" s="32" t="str">
        <f aca="false">IF(C39="","",IF(D39&lt;0,"Scaduto",IF(D39&lt;=60,"Da rinnovare","Ok")))</f>
        <v/>
      </c>
      <c r="F39" s="30"/>
      <c r="G39" s="30"/>
      <c r="H39" s="30"/>
    </row>
    <row r="40" customFormat="false" ht="19.5" hidden="false" customHeight="true" outlineLevel="0" collapsed="false">
      <c r="A40" s="34"/>
      <c r="B40" s="34"/>
      <c r="C40" s="35"/>
      <c r="D40" s="32" t="str">
        <f aca="true">IF(C40="","",C40-TODAY())</f>
        <v/>
      </c>
      <c r="E40" s="32" t="str">
        <f aca="false">IF(C40="","",IF(D40&lt;0,"Scaduto",IF(D40&lt;=60,"Da rinnovare","Ok")))</f>
        <v/>
      </c>
      <c r="F40" s="34"/>
      <c r="G40" s="34"/>
      <c r="H40" s="34"/>
    </row>
    <row r="41" customFormat="false" ht="19.5" hidden="false" customHeight="true" outlineLevel="0" collapsed="false">
      <c r="A41" s="30"/>
      <c r="B41" s="30"/>
      <c r="C41" s="31"/>
      <c r="D41" s="32" t="str">
        <f aca="true">IF(C41="","",C41-TODAY())</f>
        <v/>
      </c>
      <c r="E41" s="32" t="str">
        <f aca="false">IF(C41="","",IF(D41&lt;0,"Scaduto",IF(D41&lt;=60,"Da rinnovare","Ok")))</f>
        <v/>
      </c>
      <c r="F41" s="30"/>
      <c r="G41" s="30"/>
      <c r="H41" s="30"/>
    </row>
    <row r="42" customFormat="false" ht="19.5" hidden="false" customHeight="true" outlineLevel="0" collapsed="false">
      <c r="A42" s="34"/>
      <c r="B42" s="34"/>
      <c r="C42" s="35"/>
      <c r="D42" s="32" t="str">
        <f aca="true">IF(C42="","",C42-TODAY())</f>
        <v/>
      </c>
      <c r="E42" s="32" t="str">
        <f aca="false">IF(C42="","",IF(D42&lt;0,"Scaduto",IF(D42&lt;=60,"Da rinnovare","Ok")))</f>
        <v/>
      </c>
      <c r="F42" s="34"/>
      <c r="G42" s="34"/>
      <c r="H42" s="34"/>
    </row>
    <row r="43" customFormat="false" ht="19.5" hidden="false" customHeight="true" outlineLevel="0" collapsed="false">
      <c r="A43" s="30"/>
      <c r="B43" s="30"/>
      <c r="C43" s="31"/>
      <c r="D43" s="32" t="str">
        <f aca="true">IF(C43="","",C43-TODAY())</f>
        <v/>
      </c>
      <c r="E43" s="32" t="str">
        <f aca="false">IF(C43="","",IF(D43&lt;0,"Scaduto",IF(D43&lt;=60,"Da rinnovare","Ok")))</f>
        <v/>
      </c>
      <c r="F43" s="30"/>
      <c r="G43" s="30"/>
      <c r="H43" s="30"/>
    </row>
    <row r="44" customFormat="false" ht="19.5" hidden="false" customHeight="true" outlineLevel="0" collapsed="false">
      <c r="A44" s="34"/>
      <c r="B44" s="34"/>
      <c r="C44" s="35"/>
      <c r="D44" s="32" t="str">
        <f aca="true">IF(C44="","",C44-TODAY())</f>
        <v/>
      </c>
      <c r="E44" s="32" t="str">
        <f aca="false">IF(C44="","",IF(D44&lt;0,"Scaduto",IF(D44&lt;=60,"Da rinnovare","Ok")))</f>
        <v/>
      </c>
      <c r="F44" s="34"/>
      <c r="G44" s="34"/>
      <c r="H44" s="34"/>
    </row>
    <row r="45" customFormat="false" ht="19.5" hidden="false" customHeight="true" outlineLevel="0" collapsed="false">
      <c r="A45" s="30"/>
      <c r="B45" s="30"/>
      <c r="C45" s="31"/>
      <c r="D45" s="32" t="str">
        <f aca="true">IF(C45="","",C45-TODAY())</f>
        <v/>
      </c>
      <c r="E45" s="32" t="str">
        <f aca="false">IF(C45="","",IF(D45&lt;0,"Scaduto",IF(D45&lt;=60,"Da rinnovare","Ok")))</f>
        <v/>
      </c>
      <c r="F45" s="30"/>
      <c r="G45" s="30"/>
      <c r="H45" s="30"/>
    </row>
    <row r="46" customFormat="false" ht="19.5" hidden="false" customHeight="true" outlineLevel="0" collapsed="false">
      <c r="A46" s="34"/>
      <c r="B46" s="34"/>
      <c r="C46" s="35"/>
      <c r="D46" s="32" t="str">
        <f aca="true">IF(C46="","",C46-TODAY())</f>
        <v/>
      </c>
      <c r="E46" s="32" t="str">
        <f aca="false">IF(C46="","",IF(D46&lt;0,"Scaduto",IF(D46&lt;=60,"Da rinnovare","Ok")))</f>
        <v/>
      </c>
      <c r="F46" s="34"/>
      <c r="G46" s="34"/>
      <c r="H46" s="34"/>
    </row>
    <row r="47" customFormat="false" ht="19.5" hidden="false" customHeight="true" outlineLevel="0" collapsed="false">
      <c r="A47" s="30"/>
      <c r="B47" s="30"/>
      <c r="C47" s="31"/>
      <c r="D47" s="32" t="str">
        <f aca="true">IF(C47="","",C47-TODAY())</f>
        <v/>
      </c>
      <c r="E47" s="32" t="str">
        <f aca="false">IF(C47="","",IF(D47&lt;0,"Scaduto",IF(D47&lt;=60,"Da rinnovare","Ok")))</f>
        <v/>
      </c>
      <c r="F47" s="30"/>
      <c r="G47" s="30"/>
      <c r="H47" s="30"/>
    </row>
    <row r="48" customFormat="false" ht="19.5" hidden="false" customHeight="true" outlineLevel="0" collapsed="false">
      <c r="A48" s="34"/>
      <c r="B48" s="34"/>
      <c r="C48" s="35"/>
      <c r="D48" s="32" t="str">
        <f aca="true">IF(C48="","",C48-TODAY())</f>
        <v/>
      </c>
      <c r="E48" s="32" t="str">
        <f aca="false">IF(C48="","",IF(D48&lt;0,"Scaduto",IF(D48&lt;=60,"Da rinnovare","Ok")))</f>
        <v/>
      </c>
      <c r="F48" s="34"/>
      <c r="G48" s="34"/>
      <c r="H48" s="34"/>
    </row>
    <row r="49" customFormat="false" ht="19.5" hidden="false" customHeight="true" outlineLevel="0" collapsed="false">
      <c r="A49" s="30"/>
      <c r="B49" s="30"/>
      <c r="C49" s="31"/>
      <c r="D49" s="32" t="str">
        <f aca="true">IF(C49="","",C49-TODAY())</f>
        <v/>
      </c>
      <c r="E49" s="32" t="str">
        <f aca="false">IF(C49="","",IF(D49&lt;0,"Scaduto",IF(D49&lt;=60,"Da rinnovare","Ok")))</f>
        <v/>
      </c>
      <c r="F49" s="30"/>
      <c r="G49" s="30"/>
      <c r="H49" s="30"/>
    </row>
    <row r="50" customFormat="false" ht="19.5" hidden="false" customHeight="true" outlineLevel="0" collapsed="false">
      <c r="A50" s="34"/>
      <c r="B50" s="34"/>
      <c r="C50" s="35"/>
      <c r="D50" s="32" t="str">
        <f aca="true">IF(C50="","",C50-TODAY())</f>
        <v/>
      </c>
      <c r="E50" s="32" t="str">
        <f aca="false">IF(C50="","",IF(D50&lt;0,"Scaduto",IF(D50&lt;=60,"Da rinnovare","Ok")))</f>
        <v/>
      </c>
      <c r="F50" s="34"/>
      <c r="G50" s="34"/>
      <c r="H50" s="34"/>
    </row>
    <row r="51" customFormat="false" ht="19.5" hidden="false" customHeight="true" outlineLevel="0" collapsed="false">
      <c r="A51" s="30"/>
      <c r="B51" s="30"/>
      <c r="C51" s="31"/>
      <c r="D51" s="32" t="str">
        <f aca="true">IF(C51="","",C51-TODAY())</f>
        <v/>
      </c>
      <c r="E51" s="32" t="str">
        <f aca="false">IF(C51="","",IF(D51&lt;0,"Scaduto",IF(D51&lt;=60,"Da rinnovare","Ok")))</f>
        <v/>
      </c>
      <c r="F51" s="30"/>
      <c r="G51" s="30"/>
      <c r="H51" s="30"/>
    </row>
    <row r="52" customFormat="false" ht="19.5" hidden="false" customHeight="true" outlineLevel="0" collapsed="false">
      <c r="A52" s="34"/>
      <c r="B52" s="34"/>
      <c r="C52" s="35"/>
      <c r="D52" s="32" t="str">
        <f aca="true">IF(C52="","",C52-TODAY())</f>
        <v/>
      </c>
      <c r="E52" s="32" t="str">
        <f aca="false">IF(C52="","",IF(D52&lt;0,"Scaduto",IF(D52&lt;=60,"Da rinnovare","Ok")))</f>
        <v/>
      </c>
      <c r="F52" s="34"/>
      <c r="G52" s="34"/>
      <c r="H52" s="34"/>
    </row>
    <row r="53" customFormat="false" ht="19.5" hidden="false" customHeight="true" outlineLevel="0" collapsed="false">
      <c r="A53" s="30"/>
      <c r="B53" s="30"/>
      <c r="C53" s="31"/>
      <c r="D53" s="32" t="str">
        <f aca="true">IF(C53="","",C53-TODAY())</f>
        <v/>
      </c>
      <c r="E53" s="32" t="str">
        <f aca="false">IF(C53="","",IF(D53&lt;0,"Scaduto",IF(D53&lt;=60,"Da rinnovare","Ok")))</f>
        <v/>
      </c>
      <c r="F53" s="30"/>
      <c r="G53" s="30"/>
      <c r="H53" s="30"/>
    </row>
    <row r="54" customFormat="false" ht="19.5" hidden="false" customHeight="true" outlineLevel="0" collapsed="false">
      <c r="A54" s="34"/>
      <c r="B54" s="34"/>
      <c r="C54" s="35"/>
      <c r="D54" s="32" t="str">
        <f aca="true">IF(C54="","",C54-TODAY())</f>
        <v/>
      </c>
      <c r="E54" s="32" t="str">
        <f aca="false">IF(C54="","",IF(D54&lt;0,"Scaduto",IF(D54&lt;=60,"Da rinnovare","Ok")))</f>
        <v/>
      </c>
      <c r="F54" s="34"/>
      <c r="G54" s="34"/>
      <c r="H54" s="34"/>
    </row>
    <row r="55" customFormat="false" ht="19.5" hidden="false" customHeight="true" outlineLevel="0" collapsed="false">
      <c r="A55" s="30"/>
      <c r="B55" s="30"/>
      <c r="C55" s="31"/>
      <c r="D55" s="32" t="str">
        <f aca="true">IF(C55="","",C55-TODAY())</f>
        <v/>
      </c>
      <c r="E55" s="32" t="str">
        <f aca="false">IF(C55="","",IF(D55&lt;0,"Scaduto",IF(D55&lt;=60,"Da rinnovare","Ok")))</f>
        <v/>
      </c>
      <c r="F55" s="30"/>
      <c r="G55" s="30"/>
      <c r="H55" s="30"/>
    </row>
    <row r="56" customFormat="false" ht="19.5" hidden="false" customHeight="true" outlineLevel="0" collapsed="false">
      <c r="A56" s="34"/>
      <c r="B56" s="34"/>
      <c r="C56" s="35"/>
      <c r="D56" s="32" t="str">
        <f aca="true">IF(C56="","",C56-TODAY())</f>
        <v/>
      </c>
      <c r="E56" s="32" t="str">
        <f aca="false">IF(C56="","",IF(D56&lt;0,"Scaduto",IF(D56&lt;=60,"Da rinnovare","Ok")))</f>
        <v/>
      </c>
      <c r="F56" s="34"/>
      <c r="G56" s="34"/>
      <c r="H56" s="34"/>
    </row>
    <row r="57" customFormat="false" ht="19.5" hidden="false" customHeight="true" outlineLevel="0" collapsed="false">
      <c r="A57" s="30"/>
      <c r="B57" s="30"/>
      <c r="C57" s="31"/>
      <c r="D57" s="32" t="str">
        <f aca="true">IF(C57="","",C57-TODAY())</f>
        <v/>
      </c>
      <c r="E57" s="32" t="str">
        <f aca="false">IF(C57="","",IF(D57&lt;0,"Scaduto",IF(D57&lt;=60,"Da rinnovare","Ok")))</f>
        <v/>
      </c>
      <c r="F57" s="30"/>
      <c r="G57" s="30"/>
      <c r="H57" s="30"/>
    </row>
    <row r="58" customFormat="false" ht="19.5" hidden="false" customHeight="true" outlineLevel="0" collapsed="false">
      <c r="A58" s="34"/>
      <c r="B58" s="34"/>
      <c r="C58" s="35"/>
      <c r="D58" s="32" t="str">
        <f aca="true">IF(C58="","",C58-TODAY())</f>
        <v/>
      </c>
      <c r="E58" s="32" t="str">
        <f aca="false">IF(C58="","",IF(D58&lt;0,"Scaduto",IF(D58&lt;=60,"Da rinnovare","Ok")))</f>
        <v/>
      </c>
      <c r="F58" s="34"/>
      <c r="G58" s="34"/>
      <c r="H58" s="34"/>
    </row>
    <row r="59" customFormat="false" ht="19.5" hidden="false" customHeight="true" outlineLevel="0" collapsed="false">
      <c r="A59" s="30"/>
      <c r="B59" s="30"/>
      <c r="C59" s="31"/>
      <c r="D59" s="32" t="str">
        <f aca="true">IF(C59="","",C59-TODAY())</f>
        <v/>
      </c>
      <c r="E59" s="32" t="str">
        <f aca="false">IF(C59="","",IF(D59&lt;0,"Scaduto",IF(D59&lt;=60,"Da rinnovare","Ok")))</f>
        <v/>
      </c>
      <c r="F59" s="30"/>
      <c r="G59" s="30"/>
      <c r="H59" s="30"/>
    </row>
    <row r="60" customFormat="false" ht="19.5" hidden="false" customHeight="true" outlineLevel="0" collapsed="false">
      <c r="A60" s="34"/>
      <c r="B60" s="34"/>
      <c r="C60" s="35"/>
      <c r="D60" s="32" t="str">
        <f aca="true">IF(C60="","",C60-TODAY())</f>
        <v/>
      </c>
      <c r="E60" s="32" t="str">
        <f aca="false">IF(C60="","",IF(D60&lt;0,"Scaduto",IF(D60&lt;=60,"Da rinnovare","Ok")))</f>
        <v/>
      </c>
      <c r="F60" s="34"/>
      <c r="G60" s="34"/>
      <c r="H60" s="34"/>
    </row>
    <row r="61" customFormat="false" ht="19.5" hidden="false" customHeight="true" outlineLevel="0" collapsed="false">
      <c r="A61" s="30"/>
      <c r="B61" s="30"/>
      <c r="C61" s="31"/>
      <c r="D61" s="32" t="str">
        <f aca="true">IF(C61="","",C61-TODAY())</f>
        <v/>
      </c>
      <c r="E61" s="32" t="str">
        <f aca="false">IF(C61="","",IF(D61&lt;0,"Scaduto",IF(D61&lt;=60,"Da rinnovare","Ok")))</f>
        <v/>
      </c>
      <c r="F61" s="30"/>
      <c r="G61" s="30"/>
      <c r="H61" s="30"/>
    </row>
    <row r="62" customFormat="false" ht="19.5" hidden="false" customHeight="true" outlineLevel="0" collapsed="false">
      <c r="A62" s="34"/>
      <c r="B62" s="34"/>
      <c r="C62" s="35"/>
      <c r="D62" s="32" t="str">
        <f aca="true">IF(C62="","",C62-TODAY())</f>
        <v/>
      </c>
      <c r="E62" s="32" t="str">
        <f aca="false">IF(C62="","",IF(D62&lt;0,"Scaduto",IF(D62&lt;=60,"Da rinnovare","Ok")))</f>
        <v/>
      </c>
      <c r="F62" s="34"/>
      <c r="G62" s="34"/>
      <c r="H62" s="34"/>
    </row>
    <row r="63" customFormat="false" ht="19.5" hidden="false" customHeight="true" outlineLevel="0" collapsed="false">
      <c r="A63" s="30"/>
      <c r="B63" s="30"/>
      <c r="C63" s="31"/>
      <c r="D63" s="32" t="str">
        <f aca="true">IF(C63="","",C63-TODAY())</f>
        <v/>
      </c>
      <c r="E63" s="32" t="str">
        <f aca="false">IF(C63="","",IF(D63&lt;0,"Scaduto",IF(D63&lt;=60,"Da rinnovare","Ok")))</f>
        <v/>
      </c>
      <c r="F63" s="30"/>
      <c r="G63" s="30"/>
      <c r="H63" s="30"/>
    </row>
    <row r="64" customFormat="false" ht="19.5" hidden="false" customHeight="true" outlineLevel="0" collapsed="false">
      <c r="A64" s="34"/>
      <c r="B64" s="34"/>
      <c r="C64" s="35"/>
      <c r="D64" s="32" t="str">
        <f aca="true">IF(C64="","",C64-TODAY())</f>
        <v/>
      </c>
      <c r="E64" s="32" t="str">
        <f aca="false">IF(C64="","",IF(D64&lt;0,"Scaduto",IF(D64&lt;=60,"Da rinnovare","Ok")))</f>
        <v/>
      </c>
      <c r="F64" s="34"/>
      <c r="G64" s="34"/>
      <c r="H64" s="34"/>
    </row>
    <row r="65" customFormat="false" ht="19.5" hidden="false" customHeight="true" outlineLevel="0" collapsed="false">
      <c r="A65" s="30"/>
      <c r="B65" s="30"/>
      <c r="C65" s="31"/>
      <c r="D65" s="32" t="str">
        <f aca="true">IF(C65="","",C65-TODAY())</f>
        <v/>
      </c>
      <c r="E65" s="32" t="str">
        <f aca="false">IF(C65="","",IF(D65&lt;0,"Scaduto",IF(D65&lt;=60,"Da rinnovare","Ok")))</f>
        <v/>
      </c>
      <c r="F65" s="30"/>
      <c r="G65" s="30"/>
      <c r="H65" s="30"/>
    </row>
    <row r="66" customFormat="false" ht="19.5" hidden="false" customHeight="true" outlineLevel="0" collapsed="false">
      <c r="A66" s="34"/>
      <c r="B66" s="34"/>
      <c r="C66" s="35"/>
      <c r="D66" s="32" t="str">
        <f aca="true">IF(C66="","",C66-TODAY())</f>
        <v/>
      </c>
      <c r="E66" s="32" t="str">
        <f aca="false">IF(C66="","",IF(D66&lt;0,"Scaduto",IF(D66&lt;=60,"Da rinnovare","Ok")))</f>
        <v/>
      </c>
      <c r="F66" s="34"/>
      <c r="G66" s="34"/>
      <c r="H66" s="34"/>
    </row>
    <row r="67" customFormat="false" ht="19.5" hidden="false" customHeight="true" outlineLevel="0" collapsed="false">
      <c r="A67" s="30"/>
      <c r="B67" s="30"/>
      <c r="C67" s="31"/>
      <c r="D67" s="32" t="str">
        <f aca="true">IF(C67="","",C67-TODAY())</f>
        <v/>
      </c>
      <c r="E67" s="32" t="str">
        <f aca="false">IF(C67="","",IF(D67&lt;0,"Scaduto",IF(D67&lt;=60,"Da rinnovare","Ok")))</f>
        <v/>
      </c>
      <c r="F67" s="30"/>
      <c r="G67" s="30"/>
      <c r="H67" s="30"/>
    </row>
    <row r="68" customFormat="false" ht="19.5" hidden="false" customHeight="true" outlineLevel="0" collapsed="false">
      <c r="A68" s="34"/>
      <c r="B68" s="34"/>
      <c r="C68" s="35"/>
      <c r="D68" s="32" t="str">
        <f aca="true">IF(C68="","",C68-TODAY())</f>
        <v/>
      </c>
      <c r="E68" s="32" t="str">
        <f aca="false">IF(C68="","",IF(D68&lt;0,"Scaduto",IF(D68&lt;=60,"Da rinnovare","Ok")))</f>
        <v/>
      </c>
      <c r="F68" s="34"/>
      <c r="G68" s="34"/>
      <c r="H68" s="34"/>
    </row>
    <row r="69" customFormat="false" ht="19.5" hidden="false" customHeight="true" outlineLevel="0" collapsed="false">
      <c r="A69" s="30"/>
      <c r="B69" s="30"/>
      <c r="C69" s="31"/>
      <c r="D69" s="32" t="str">
        <f aca="true">IF(C69="","",C69-TODAY())</f>
        <v/>
      </c>
      <c r="E69" s="32" t="str">
        <f aca="false">IF(C69="","",IF(D69&lt;0,"Scaduto",IF(D69&lt;=60,"Da rinnovare","Ok")))</f>
        <v/>
      </c>
      <c r="F69" s="30"/>
      <c r="G69" s="30"/>
      <c r="H69" s="30"/>
    </row>
    <row r="70" customFormat="false" ht="19.5" hidden="false" customHeight="true" outlineLevel="0" collapsed="false">
      <c r="A70" s="34"/>
      <c r="B70" s="34"/>
      <c r="C70" s="35"/>
      <c r="D70" s="32" t="str">
        <f aca="true">IF(C70="","",C70-TODAY())</f>
        <v/>
      </c>
      <c r="E70" s="32" t="str">
        <f aca="false">IF(C70="","",IF(D70&lt;0,"Scaduto",IF(D70&lt;=60,"Da rinnovare","Ok")))</f>
        <v/>
      </c>
      <c r="F70" s="34"/>
      <c r="G70" s="34"/>
      <c r="H70" s="34"/>
    </row>
    <row r="71" customFormat="false" ht="19.5" hidden="false" customHeight="true" outlineLevel="0" collapsed="false">
      <c r="A71" s="30"/>
      <c r="B71" s="30"/>
      <c r="C71" s="31"/>
      <c r="D71" s="32" t="str">
        <f aca="true">IF(C71="","",C71-TODAY())</f>
        <v/>
      </c>
      <c r="E71" s="32" t="str">
        <f aca="false">IF(C71="","",IF(D71&lt;0,"Scaduto",IF(D71&lt;=60,"Da rinnovare","Ok")))</f>
        <v/>
      </c>
      <c r="F71" s="30"/>
      <c r="G71" s="30"/>
      <c r="H71" s="30"/>
    </row>
    <row r="72" customFormat="false" ht="19.5" hidden="false" customHeight="true" outlineLevel="0" collapsed="false">
      <c r="A72" s="34"/>
      <c r="B72" s="34"/>
      <c r="C72" s="35"/>
      <c r="D72" s="32" t="str">
        <f aca="true">IF(C72="","",C72-TODAY())</f>
        <v/>
      </c>
      <c r="E72" s="32" t="str">
        <f aca="false">IF(C72="","",IF(D72&lt;0,"Scaduto",IF(D72&lt;=60,"Da rinnovare","Ok")))</f>
        <v/>
      </c>
      <c r="F72" s="34"/>
      <c r="G72" s="34"/>
      <c r="H72" s="34"/>
    </row>
    <row r="73" customFormat="false" ht="19.5" hidden="false" customHeight="true" outlineLevel="0" collapsed="false">
      <c r="A73" s="30"/>
      <c r="B73" s="30"/>
      <c r="C73" s="31"/>
      <c r="D73" s="32" t="str">
        <f aca="true">IF(C73="","",C73-TODAY())</f>
        <v/>
      </c>
      <c r="E73" s="32" t="str">
        <f aca="false">IF(C73="","",IF(D73&lt;0,"Scaduto",IF(D73&lt;=60,"Da rinnovare","Ok")))</f>
        <v/>
      </c>
      <c r="F73" s="30"/>
      <c r="G73" s="30"/>
      <c r="H73" s="30"/>
    </row>
    <row r="74" customFormat="false" ht="19.5" hidden="false" customHeight="true" outlineLevel="0" collapsed="false">
      <c r="A74" s="34"/>
      <c r="B74" s="34"/>
      <c r="C74" s="35"/>
      <c r="D74" s="32" t="str">
        <f aca="true">IF(C74="","",C74-TODAY())</f>
        <v/>
      </c>
      <c r="E74" s="32" t="str">
        <f aca="false">IF(C74="","",IF(D74&lt;0,"Scaduto",IF(D74&lt;=60,"Da rinnovare","Ok")))</f>
        <v/>
      </c>
      <c r="F74" s="34"/>
      <c r="G74" s="34"/>
      <c r="H74" s="34"/>
    </row>
    <row r="75" customFormat="false" ht="19.5" hidden="false" customHeight="true" outlineLevel="0" collapsed="false">
      <c r="A75" s="30"/>
      <c r="B75" s="30"/>
      <c r="C75" s="31"/>
      <c r="D75" s="32" t="str">
        <f aca="true">IF(C75="","",C75-TODAY())</f>
        <v/>
      </c>
      <c r="E75" s="32" t="str">
        <f aca="false">IF(C75="","",IF(D75&lt;0,"Scaduto",IF(D75&lt;=60,"Da rinnovare","Ok")))</f>
        <v/>
      </c>
      <c r="F75" s="30"/>
      <c r="G75" s="30"/>
      <c r="H75" s="30"/>
    </row>
    <row r="76" customFormat="false" ht="19.5" hidden="false" customHeight="true" outlineLevel="0" collapsed="false">
      <c r="A76" s="34"/>
      <c r="B76" s="34"/>
      <c r="C76" s="35"/>
      <c r="D76" s="32" t="str">
        <f aca="true">IF(C76="","",C76-TODAY())</f>
        <v/>
      </c>
      <c r="E76" s="32" t="str">
        <f aca="false">IF(C76="","",IF(D76&lt;0,"Scaduto",IF(D76&lt;=60,"Da rinnovare","Ok")))</f>
        <v/>
      </c>
      <c r="F76" s="34"/>
      <c r="G76" s="34"/>
      <c r="H76" s="34"/>
    </row>
    <row r="77" customFormat="false" ht="19.5" hidden="false" customHeight="true" outlineLevel="0" collapsed="false">
      <c r="A77" s="30"/>
      <c r="B77" s="30"/>
      <c r="C77" s="31"/>
      <c r="D77" s="32" t="str">
        <f aca="true">IF(C77="","",C77-TODAY())</f>
        <v/>
      </c>
      <c r="E77" s="32" t="str">
        <f aca="false">IF(C77="","",IF(D77&lt;0,"Scaduto",IF(D77&lt;=60,"Da rinnovare","Ok")))</f>
        <v/>
      </c>
      <c r="F77" s="30"/>
      <c r="G77" s="30"/>
      <c r="H77" s="30"/>
    </row>
    <row r="78" customFormat="false" ht="19.5" hidden="false" customHeight="true" outlineLevel="0" collapsed="false">
      <c r="A78" s="34"/>
      <c r="B78" s="34"/>
      <c r="C78" s="35"/>
      <c r="D78" s="32" t="str">
        <f aca="true">IF(C78="","",C78-TODAY())</f>
        <v/>
      </c>
      <c r="E78" s="32" t="str">
        <f aca="false">IF(C78="","",IF(D78&lt;0,"Scaduto",IF(D78&lt;=60,"Da rinnovare","Ok")))</f>
        <v/>
      </c>
      <c r="F78" s="34"/>
      <c r="G78" s="34"/>
      <c r="H78" s="34"/>
    </row>
    <row r="79" customFormat="false" ht="19.5" hidden="false" customHeight="true" outlineLevel="0" collapsed="false">
      <c r="A79" s="30"/>
      <c r="B79" s="30"/>
      <c r="C79" s="31"/>
      <c r="D79" s="32" t="str">
        <f aca="true">IF(C79="","",C79-TODAY())</f>
        <v/>
      </c>
      <c r="E79" s="32" t="str">
        <f aca="false">IF(C79="","",IF(D79&lt;0,"Scaduto",IF(D79&lt;=60,"Da rinnovare","Ok")))</f>
        <v/>
      </c>
      <c r="F79" s="30"/>
      <c r="G79" s="30"/>
      <c r="H79" s="30"/>
    </row>
    <row r="80" customFormat="false" ht="19.5" hidden="false" customHeight="true" outlineLevel="0" collapsed="false">
      <c r="A80" s="34"/>
      <c r="B80" s="34"/>
      <c r="C80" s="35"/>
      <c r="D80" s="32" t="str">
        <f aca="true">IF(C80="","",C80-TODAY())</f>
        <v/>
      </c>
      <c r="E80" s="32" t="str">
        <f aca="false">IF(C80="","",IF(D80&lt;0,"Scaduto",IF(D80&lt;=60,"Da rinnovare","Ok")))</f>
        <v/>
      </c>
      <c r="F80" s="34"/>
      <c r="G80" s="34"/>
      <c r="H80" s="34"/>
    </row>
    <row r="81" customFormat="false" ht="19.5" hidden="false" customHeight="true" outlineLevel="0" collapsed="false">
      <c r="A81" s="30"/>
      <c r="B81" s="30"/>
      <c r="C81" s="31"/>
      <c r="D81" s="32" t="str">
        <f aca="true">IF(C81="","",C81-TODAY())</f>
        <v/>
      </c>
      <c r="E81" s="32" t="str">
        <f aca="false">IF(C81="","",IF(D81&lt;0,"Scaduto",IF(D81&lt;=60,"Da rinnovare","Ok")))</f>
        <v/>
      </c>
      <c r="F81" s="30"/>
      <c r="G81" s="30"/>
      <c r="H81" s="30"/>
    </row>
    <row r="82" customFormat="false" ht="19.5" hidden="false" customHeight="true" outlineLevel="0" collapsed="false">
      <c r="A82" s="34"/>
      <c r="B82" s="34"/>
      <c r="C82" s="35"/>
      <c r="D82" s="32" t="str">
        <f aca="true">IF(C82="","",C82-TODAY())</f>
        <v/>
      </c>
      <c r="E82" s="32" t="str">
        <f aca="false">IF(C82="","",IF(D82&lt;0,"Scaduto",IF(D82&lt;=60,"Da rinnovare","Ok")))</f>
        <v/>
      </c>
      <c r="F82" s="34"/>
      <c r="G82" s="34"/>
      <c r="H82" s="34"/>
    </row>
    <row r="83" customFormat="false" ht="19.5" hidden="false" customHeight="true" outlineLevel="0" collapsed="false">
      <c r="A83" s="30"/>
      <c r="B83" s="30"/>
      <c r="C83" s="31"/>
      <c r="D83" s="32" t="str">
        <f aca="true">IF(C83="","",C83-TODAY())</f>
        <v/>
      </c>
      <c r="E83" s="32" t="str">
        <f aca="false">IF(C83="","",IF(D83&lt;0,"Scaduto",IF(D83&lt;=60,"Da rinnovare","Ok")))</f>
        <v/>
      </c>
      <c r="F83" s="30"/>
      <c r="G83" s="30"/>
      <c r="H83" s="30"/>
    </row>
    <row r="84" customFormat="false" ht="19.5" hidden="false" customHeight="true" outlineLevel="0" collapsed="false">
      <c r="A84" s="34"/>
      <c r="B84" s="34"/>
      <c r="C84" s="35"/>
      <c r="D84" s="32" t="str">
        <f aca="true">IF(C84="","",C84-TODAY())</f>
        <v/>
      </c>
      <c r="E84" s="32" t="str">
        <f aca="false">IF(C84="","",IF(D84&lt;0,"Scaduto",IF(D84&lt;=60,"Da rinnovare","Ok")))</f>
        <v/>
      </c>
      <c r="F84" s="34"/>
      <c r="G84" s="34"/>
      <c r="H84" s="34"/>
    </row>
    <row r="85" customFormat="false" ht="19.5" hidden="false" customHeight="true" outlineLevel="0" collapsed="false">
      <c r="A85" s="30"/>
      <c r="B85" s="30"/>
      <c r="C85" s="31"/>
      <c r="D85" s="32" t="str">
        <f aca="true">IF(C85="","",C85-TODAY())</f>
        <v/>
      </c>
      <c r="E85" s="32" t="str">
        <f aca="false">IF(C85="","",IF(D85&lt;0,"Scaduto",IF(D85&lt;=60,"Da rinnovare","Ok")))</f>
        <v/>
      </c>
      <c r="F85" s="30"/>
      <c r="G85" s="30"/>
      <c r="H85" s="30"/>
    </row>
    <row r="86" customFormat="false" ht="19.5" hidden="false" customHeight="true" outlineLevel="0" collapsed="false">
      <c r="A86" s="34"/>
      <c r="B86" s="34"/>
      <c r="C86" s="35"/>
      <c r="D86" s="32" t="str">
        <f aca="true">IF(C86="","",C86-TODAY())</f>
        <v/>
      </c>
      <c r="E86" s="32" t="str">
        <f aca="false">IF(C86="","",IF(D86&lt;0,"Scaduto",IF(D86&lt;=60,"Da rinnovare","Ok")))</f>
        <v/>
      </c>
      <c r="F86" s="34"/>
      <c r="G86" s="34"/>
      <c r="H86" s="34"/>
    </row>
    <row r="87" customFormat="false" ht="19.5" hidden="false" customHeight="true" outlineLevel="0" collapsed="false">
      <c r="A87" s="30"/>
      <c r="B87" s="30"/>
      <c r="C87" s="31"/>
      <c r="D87" s="32" t="str">
        <f aca="true">IF(C87="","",C87-TODAY())</f>
        <v/>
      </c>
      <c r="E87" s="32" t="str">
        <f aca="false">IF(C87="","",IF(D87&lt;0,"Scaduto",IF(D87&lt;=60,"Da rinnovare","Ok")))</f>
        <v/>
      </c>
      <c r="F87" s="30"/>
      <c r="G87" s="30"/>
      <c r="H87" s="30"/>
    </row>
    <row r="88" customFormat="false" ht="19.5" hidden="false" customHeight="true" outlineLevel="0" collapsed="false">
      <c r="A88" s="34"/>
      <c r="B88" s="34"/>
      <c r="C88" s="35"/>
      <c r="D88" s="32" t="str">
        <f aca="true">IF(C88="","",C88-TODAY())</f>
        <v/>
      </c>
      <c r="E88" s="32" t="str">
        <f aca="false">IF(C88="","",IF(D88&lt;0,"Scaduto",IF(D88&lt;=60,"Da rinnovare","Ok")))</f>
        <v/>
      </c>
      <c r="F88" s="34"/>
      <c r="G88" s="34"/>
      <c r="H88" s="34"/>
    </row>
    <row r="89" customFormat="false" ht="19.5" hidden="false" customHeight="true" outlineLevel="0" collapsed="false">
      <c r="A89" s="30"/>
      <c r="B89" s="30"/>
      <c r="C89" s="31"/>
      <c r="D89" s="32" t="str">
        <f aca="true">IF(C89="","",C89-TODAY())</f>
        <v/>
      </c>
      <c r="E89" s="32" t="str">
        <f aca="false">IF(C89="","",IF(D89&lt;0,"Scaduto",IF(D89&lt;=60,"Da rinnovare","Ok")))</f>
        <v/>
      </c>
      <c r="F89" s="30"/>
      <c r="G89" s="30"/>
      <c r="H89" s="30"/>
    </row>
    <row r="90" customFormat="false" ht="19.5" hidden="false" customHeight="true" outlineLevel="0" collapsed="false">
      <c r="A90" s="34"/>
      <c r="B90" s="34"/>
      <c r="C90" s="35"/>
      <c r="D90" s="32" t="str">
        <f aca="true">IF(C90="","",C90-TODAY())</f>
        <v/>
      </c>
      <c r="E90" s="32" t="str">
        <f aca="false">IF(C90="","",IF(D90&lt;0,"Scaduto",IF(D90&lt;=60,"Da rinnovare","Ok")))</f>
        <v/>
      </c>
      <c r="F90" s="34"/>
      <c r="G90" s="34"/>
      <c r="H90" s="34"/>
    </row>
    <row r="91" customFormat="false" ht="19.5" hidden="false" customHeight="true" outlineLevel="0" collapsed="false">
      <c r="A91" s="30"/>
      <c r="B91" s="30"/>
      <c r="C91" s="31"/>
      <c r="D91" s="32" t="str">
        <f aca="true">IF(C91="","",C91-TODAY())</f>
        <v/>
      </c>
      <c r="E91" s="32" t="str">
        <f aca="false">IF(C91="","",IF(D91&lt;0,"Scaduto",IF(D91&lt;=60,"Da rinnovare","Ok")))</f>
        <v/>
      </c>
      <c r="F91" s="30"/>
      <c r="G91" s="30"/>
      <c r="H91" s="30"/>
    </row>
    <row r="92" customFormat="false" ht="19.5" hidden="false" customHeight="true" outlineLevel="0" collapsed="false">
      <c r="A92" s="34"/>
      <c r="B92" s="34"/>
      <c r="C92" s="35"/>
      <c r="D92" s="32" t="str">
        <f aca="true">IF(C92="","",C92-TODAY())</f>
        <v/>
      </c>
      <c r="E92" s="32" t="str">
        <f aca="false">IF(C92="","",IF(D92&lt;0,"Scaduto",IF(D92&lt;=60,"Da rinnovare","Ok")))</f>
        <v/>
      </c>
      <c r="F92" s="34"/>
      <c r="G92" s="34"/>
      <c r="H92" s="34"/>
    </row>
    <row r="93" customFormat="false" ht="19.5" hidden="false" customHeight="true" outlineLevel="0" collapsed="false">
      <c r="A93" s="30"/>
      <c r="B93" s="30"/>
      <c r="C93" s="31"/>
      <c r="D93" s="32" t="str">
        <f aca="true">IF(C93="","",C93-TODAY())</f>
        <v/>
      </c>
      <c r="E93" s="32" t="str">
        <f aca="false">IF(C93="","",IF(D93&lt;0,"Scaduto",IF(D93&lt;=60,"Da rinnovare","Ok")))</f>
        <v/>
      </c>
      <c r="F93" s="30"/>
      <c r="G93" s="30"/>
      <c r="H93" s="30"/>
    </row>
    <row r="94" customFormat="false" ht="19.5" hidden="false" customHeight="true" outlineLevel="0" collapsed="false">
      <c r="A94" s="34"/>
      <c r="B94" s="34"/>
      <c r="C94" s="35"/>
      <c r="D94" s="32" t="str">
        <f aca="true">IF(C94="","",C94-TODAY())</f>
        <v/>
      </c>
      <c r="E94" s="32" t="str">
        <f aca="false">IF(C94="","",IF(D94&lt;0,"Scaduto",IF(D94&lt;=60,"Da rinnovare","Ok")))</f>
        <v/>
      </c>
      <c r="F94" s="34"/>
      <c r="G94" s="34"/>
      <c r="H94" s="34"/>
    </row>
    <row r="95" customFormat="false" ht="19.5" hidden="false" customHeight="true" outlineLevel="0" collapsed="false">
      <c r="A95" s="30"/>
      <c r="B95" s="30"/>
      <c r="C95" s="31"/>
      <c r="D95" s="32" t="str">
        <f aca="true">IF(C95="","",C95-TODAY())</f>
        <v/>
      </c>
      <c r="E95" s="32" t="str">
        <f aca="false">IF(C95="","",IF(D95&lt;0,"Scaduto",IF(D95&lt;=60,"Da rinnovare","Ok")))</f>
        <v/>
      </c>
      <c r="F95" s="30"/>
      <c r="G95" s="30"/>
      <c r="H95" s="30"/>
    </row>
    <row r="96" customFormat="false" ht="19.5" hidden="false" customHeight="true" outlineLevel="0" collapsed="false">
      <c r="A96" s="34"/>
      <c r="B96" s="34"/>
      <c r="C96" s="35"/>
      <c r="D96" s="32" t="str">
        <f aca="true">IF(C96="","",C96-TODAY())</f>
        <v/>
      </c>
      <c r="E96" s="32" t="str">
        <f aca="false">IF(C96="","",IF(D96&lt;0,"Scaduto",IF(D96&lt;=60,"Da rinnovare","Ok")))</f>
        <v/>
      </c>
      <c r="F96" s="34"/>
      <c r="G96" s="34"/>
      <c r="H96" s="34"/>
    </row>
    <row r="97" customFormat="false" ht="19.5" hidden="false" customHeight="true" outlineLevel="0" collapsed="false">
      <c r="A97" s="30"/>
      <c r="B97" s="30"/>
      <c r="C97" s="31"/>
      <c r="D97" s="32" t="str">
        <f aca="true">IF(C97="","",C97-TODAY())</f>
        <v/>
      </c>
      <c r="E97" s="32" t="str">
        <f aca="false">IF(C97="","",IF(D97&lt;0,"Scaduto",IF(D97&lt;=60,"Da rinnovare","Ok")))</f>
        <v/>
      </c>
      <c r="F97" s="30"/>
      <c r="G97" s="30"/>
      <c r="H97" s="30"/>
    </row>
    <row r="98" customFormat="false" ht="19.5" hidden="false" customHeight="true" outlineLevel="0" collapsed="false">
      <c r="A98" s="34"/>
      <c r="B98" s="34"/>
      <c r="C98" s="35"/>
      <c r="D98" s="32" t="str">
        <f aca="true">IF(C98="","",C98-TODAY())</f>
        <v/>
      </c>
      <c r="E98" s="32" t="str">
        <f aca="false">IF(C98="","",IF(D98&lt;0,"Scaduto",IF(D98&lt;=60,"Da rinnovare","Ok")))</f>
        <v/>
      </c>
      <c r="F98" s="34"/>
      <c r="G98" s="34"/>
      <c r="H98" s="34"/>
    </row>
    <row r="99" customFormat="false" ht="19.5" hidden="false" customHeight="true" outlineLevel="0" collapsed="false">
      <c r="A99" s="30"/>
      <c r="B99" s="30"/>
      <c r="C99" s="31"/>
      <c r="D99" s="32" t="str">
        <f aca="true">IF(C99="","",C99-TODAY())</f>
        <v/>
      </c>
      <c r="E99" s="32" t="str">
        <f aca="false">IF(C99="","",IF(D99&lt;0,"Scaduto",IF(D99&lt;=60,"Da rinnovare","Ok")))</f>
        <v/>
      </c>
      <c r="F99" s="30"/>
      <c r="G99" s="30"/>
      <c r="H99" s="30"/>
    </row>
    <row r="100" customFormat="false" ht="19.5" hidden="false" customHeight="true" outlineLevel="0" collapsed="false">
      <c r="A100" s="34"/>
      <c r="B100" s="34"/>
      <c r="C100" s="35"/>
      <c r="D100" s="32" t="str">
        <f aca="true">IF(C100="","",C100-TODAY())</f>
        <v/>
      </c>
      <c r="E100" s="32" t="str">
        <f aca="false">IF(C100="","",IF(D100&lt;0,"Scaduto",IF(D100&lt;=60,"Da rinnovare","Ok")))</f>
        <v/>
      </c>
      <c r="F100" s="34"/>
      <c r="G100" s="34"/>
      <c r="H100" s="34"/>
    </row>
    <row r="101" customFormat="false" ht="19.5" hidden="false" customHeight="true" outlineLevel="0" collapsed="false">
      <c r="A101" s="30"/>
      <c r="B101" s="30"/>
      <c r="C101" s="31"/>
      <c r="D101" s="32" t="str">
        <f aca="true">IF(C101="","",C101-TODAY())</f>
        <v/>
      </c>
      <c r="E101" s="32" t="str">
        <f aca="false">IF(C101="","",IF(D101&lt;0,"Scaduto",IF(D101&lt;=60,"Da rinnovare","Ok")))</f>
        <v/>
      </c>
      <c r="F101" s="30"/>
      <c r="G101" s="30"/>
      <c r="H101" s="30"/>
    </row>
    <row r="102" customFormat="false" ht="19.5" hidden="false" customHeight="true" outlineLevel="0" collapsed="false">
      <c r="A102" s="34"/>
      <c r="B102" s="34"/>
      <c r="C102" s="35"/>
      <c r="D102" s="32" t="str">
        <f aca="true">IF(C102="","",C102-TODAY())</f>
        <v/>
      </c>
      <c r="E102" s="32" t="str">
        <f aca="false">IF(C102="","",IF(D102&lt;0,"Scaduto",IF(D102&lt;=60,"Da rinnovare","Ok")))</f>
        <v/>
      </c>
      <c r="F102" s="34"/>
      <c r="G102" s="34"/>
      <c r="H102" s="34"/>
    </row>
    <row r="103" customFormat="false" ht="19.5" hidden="false" customHeight="true" outlineLevel="0" collapsed="false">
      <c r="A103" s="30"/>
      <c r="B103" s="30"/>
      <c r="C103" s="31"/>
      <c r="D103" s="32" t="str">
        <f aca="true">IF(C103="","",C103-TODAY())</f>
        <v/>
      </c>
      <c r="E103" s="32" t="str">
        <f aca="false">IF(C103="","",IF(D103&lt;0,"Scaduto",IF(D103&lt;=60,"Da rinnovare","Ok")))</f>
        <v/>
      </c>
      <c r="F103" s="30"/>
      <c r="G103" s="30"/>
      <c r="H103" s="30"/>
    </row>
    <row r="104" customFormat="false" ht="19.5" hidden="false" customHeight="true" outlineLevel="0" collapsed="false">
      <c r="A104" s="34"/>
      <c r="B104" s="34"/>
      <c r="C104" s="35"/>
      <c r="D104" s="32" t="str">
        <f aca="true">IF(C104="","",C104-TODAY())</f>
        <v/>
      </c>
      <c r="E104" s="32" t="str">
        <f aca="false">IF(C104="","",IF(D104&lt;0,"Scaduto",IF(D104&lt;=60,"Da rinnovare","Ok")))</f>
        <v/>
      </c>
      <c r="F104" s="34"/>
      <c r="G104" s="34"/>
      <c r="H104" s="34"/>
    </row>
    <row r="105" customFormat="false" ht="19.5" hidden="false" customHeight="true" outlineLevel="0" collapsed="false">
      <c r="A105" s="30"/>
      <c r="B105" s="30"/>
      <c r="C105" s="31"/>
      <c r="D105" s="32" t="str">
        <f aca="true">IF(C105="","",C105-TODAY())</f>
        <v/>
      </c>
      <c r="E105" s="32" t="str">
        <f aca="false">IF(C105="","",IF(D105&lt;0,"Scaduto",IF(D105&lt;=60,"Da rinnovare","Ok")))</f>
        <v/>
      </c>
      <c r="F105" s="30"/>
      <c r="G105" s="30"/>
      <c r="H105" s="30"/>
    </row>
    <row r="106" customFormat="false" ht="19.5" hidden="false" customHeight="true" outlineLevel="0" collapsed="false">
      <c r="A106" s="34"/>
      <c r="B106" s="34"/>
      <c r="C106" s="35"/>
      <c r="D106" s="32" t="str">
        <f aca="true">IF(C106="","",C106-TODAY())</f>
        <v/>
      </c>
      <c r="E106" s="32" t="str">
        <f aca="false">IF(C106="","",IF(D106&lt;0,"Scaduto",IF(D106&lt;=60,"Da rinnovare","Ok")))</f>
        <v/>
      </c>
      <c r="F106" s="34"/>
      <c r="G106" s="34"/>
      <c r="H106" s="34"/>
    </row>
    <row r="107" customFormat="false" ht="19.5" hidden="false" customHeight="true" outlineLevel="0" collapsed="false">
      <c r="A107" s="30"/>
      <c r="B107" s="30"/>
      <c r="C107" s="31"/>
      <c r="D107" s="32" t="str">
        <f aca="true">IF(C107="","",C107-TODAY())</f>
        <v/>
      </c>
      <c r="E107" s="32" t="str">
        <f aca="false">IF(C107="","",IF(D107&lt;0,"Scaduto",IF(D107&lt;=60,"Da rinnovare","Ok")))</f>
        <v/>
      </c>
      <c r="F107" s="30"/>
      <c r="G107" s="30"/>
      <c r="H107" s="30"/>
    </row>
    <row r="108" customFormat="false" ht="19.5" hidden="false" customHeight="true" outlineLevel="0" collapsed="false">
      <c r="A108" s="34"/>
      <c r="B108" s="34"/>
      <c r="C108" s="35"/>
      <c r="D108" s="32" t="str">
        <f aca="true">IF(C108="","",C108-TODAY())</f>
        <v/>
      </c>
      <c r="E108" s="32" t="str">
        <f aca="false">IF(C108="","",IF(D108&lt;0,"Scaduto",IF(D108&lt;=60,"Da rinnovare","Ok")))</f>
        <v/>
      </c>
      <c r="F108" s="34"/>
      <c r="G108" s="34"/>
      <c r="H108" s="34"/>
    </row>
    <row r="109" customFormat="false" ht="19.5" hidden="false" customHeight="true" outlineLevel="0" collapsed="false">
      <c r="A109" s="30"/>
      <c r="B109" s="30"/>
      <c r="C109" s="31"/>
      <c r="D109" s="32" t="str">
        <f aca="true">IF(C109="","",C109-TODAY())</f>
        <v/>
      </c>
      <c r="E109" s="32" t="str">
        <f aca="false">IF(C109="","",IF(D109&lt;0,"Scaduto",IF(D109&lt;=60,"Da rinnovare","Ok")))</f>
        <v/>
      </c>
      <c r="F109" s="30"/>
      <c r="G109" s="30"/>
      <c r="H109" s="30"/>
    </row>
    <row r="110" customFormat="false" ht="19.5" hidden="false" customHeight="true" outlineLevel="0" collapsed="false">
      <c r="A110" s="34"/>
      <c r="B110" s="34"/>
      <c r="C110" s="35"/>
      <c r="D110" s="32" t="str">
        <f aca="true">IF(C110="","",C110-TODAY())</f>
        <v/>
      </c>
      <c r="E110" s="32" t="str">
        <f aca="false">IF(C110="","",IF(D110&lt;0,"Scaduto",IF(D110&lt;=60,"Da rinnovare","Ok")))</f>
        <v/>
      </c>
      <c r="F110" s="34"/>
      <c r="G110" s="34"/>
      <c r="H110" s="34"/>
    </row>
    <row r="111" customFormat="false" ht="19.5" hidden="false" customHeight="true" outlineLevel="0" collapsed="false">
      <c r="A111" s="30"/>
      <c r="B111" s="30"/>
      <c r="C111" s="31"/>
      <c r="D111" s="32" t="str">
        <f aca="true">IF(C111="","",C111-TODAY())</f>
        <v/>
      </c>
      <c r="E111" s="32" t="str">
        <f aca="false">IF(C111="","",IF(D111&lt;0,"Scaduto",IF(D111&lt;=60,"Da rinnovare","Ok")))</f>
        <v/>
      </c>
      <c r="F111" s="30"/>
      <c r="G111" s="30"/>
      <c r="H111" s="30"/>
    </row>
    <row r="112" customFormat="false" ht="19.5" hidden="false" customHeight="true" outlineLevel="0" collapsed="false">
      <c r="A112" s="34"/>
      <c r="B112" s="34"/>
      <c r="C112" s="35"/>
      <c r="D112" s="32" t="str">
        <f aca="true">IF(C112="","",C112-TODAY())</f>
        <v/>
      </c>
      <c r="E112" s="32" t="str">
        <f aca="false">IF(C112="","",IF(D112&lt;0,"Scaduto",IF(D112&lt;=60,"Da rinnovare","Ok")))</f>
        <v/>
      </c>
      <c r="F112" s="34"/>
      <c r="G112" s="34"/>
      <c r="H112" s="34"/>
    </row>
    <row r="113" customFormat="false" ht="19.5" hidden="false" customHeight="true" outlineLevel="0" collapsed="false">
      <c r="A113" s="30"/>
      <c r="B113" s="30"/>
      <c r="C113" s="31"/>
      <c r="D113" s="32" t="str">
        <f aca="true">IF(C113="","",C113-TODAY())</f>
        <v/>
      </c>
      <c r="E113" s="32" t="str">
        <f aca="false">IF(C113="","",IF(D113&lt;0,"Scaduto",IF(D113&lt;=60,"Da rinnovare","Ok")))</f>
        <v/>
      </c>
      <c r="F113" s="30"/>
      <c r="G113" s="30"/>
      <c r="H113" s="30"/>
    </row>
    <row r="114" customFormat="false" ht="19.5" hidden="false" customHeight="true" outlineLevel="0" collapsed="false">
      <c r="A114" s="34"/>
      <c r="B114" s="34"/>
      <c r="C114" s="35"/>
      <c r="D114" s="32" t="str">
        <f aca="true">IF(C114="","",C114-TODAY())</f>
        <v/>
      </c>
      <c r="E114" s="32" t="str">
        <f aca="false">IF(C114="","",IF(D114&lt;0,"Scaduto",IF(D114&lt;=60,"Da rinnovare","Ok")))</f>
        <v/>
      </c>
      <c r="F114" s="34"/>
      <c r="G114" s="34"/>
      <c r="H114" s="34"/>
    </row>
    <row r="115" customFormat="false" ht="19.5" hidden="false" customHeight="true" outlineLevel="0" collapsed="false">
      <c r="A115" s="30"/>
      <c r="B115" s="30"/>
      <c r="C115" s="31"/>
      <c r="D115" s="32" t="str">
        <f aca="true">IF(C115="","",C115-TODAY())</f>
        <v/>
      </c>
      <c r="E115" s="32" t="str">
        <f aca="false">IF(C115="","",IF(D115&lt;0,"Scaduto",IF(D115&lt;=60,"Da rinnovare","Ok")))</f>
        <v/>
      </c>
      <c r="F115" s="30"/>
      <c r="G115" s="30"/>
      <c r="H115" s="30"/>
    </row>
    <row r="116" customFormat="false" ht="19.5" hidden="false" customHeight="true" outlineLevel="0" collapsed="false">
      <c r="A116" s="34"/>
      <c r="B116" s="34"/>
      <c r="C116" s="35"/>
      <c r="D116" s="32" t="str">
        <f aca="true">IF(C116="","",C116-TODAY())</f>
        <v/>
      </c>
      <c r="E116" s="32" t="str">
        <f aca="false">IF(C116="","",IF(D116&lt;0,"Scaduto",IF(D116&lt;=60,"Da rinnovare","Ok")))</f>
        <v/>
      </c>
      <c r="F116" s="34"/>
      <c r="G116" s="34"/>
      <c r="H116" s="34"/>
    </row>
    <row r="117" customFormat="false" ht="19.5" hidden="false" customHeight="true" outlineLevel="0" collapsed="false">
      <c r="A117" s="30"/>
      <c r="B117" s="30"/>
      <c r="C117" s="31"/>
      <c r="D117" s="32" t="str">
        <f aca="true">IF(C117="","",C117-TODAY())</f>
        <v/>
      </c>
      <c r="E117" s="32" t="str">
        <f aca="false">IF(C117="","",IF(D117&lt;0,"Scaduto",IF(D117&lt;=60,"Da rinnovare","Ok")))</f>
        <v/>
      </c>
      <c r="F117" s="30"/>
      <c r="G117" s="30"/>
      <c r="H117" s="30"/>
    </row>
    <row r="118" customFormat="false" ht="19.5" hidden="false" customHeight="true" outlineLevel="0" collapsed="false">
      <c r="A118" s="34"/>
      <c r="B118" s="34"/>
      <c r="C118" s="35"/>
      <c r="D118" s="32" t="str">
        <f aca="true">IF(C118="","",C118-TODAY())</f>
        <v/>
      </c>
      <c r="E118" s="32" t="str">
        <f aca="false">IF(C118="","",IF(D118&lt;0,"Scaduto",IF(D118&lt;=60,"Da rinnovare","Ok")))</f>
        <v/>
      </c>
      <c r="F118" s="34"/>
      <c r="G118" s="34"/>
      <c r="H118" s="34"/>
    </row>
    <row r="119" customFormat="false" ht="19.5" hidden="false" customHeight="true" outlineLevel="0" collapsed="false">
      <c r="A119" s="30"/>
      <c r="B119" s="30"/>
      <c r="C119" s="31"/>
      <c r="D119" s="32" t="str">
        <f aca="true">IF(C119="","",C119-TODAY())</f>
        <v/>
      </c>
      <c r="E119" s="32" t="str">
        <f aca="false">IF(C119="","",IF(D119&lt;0,"Scaduto",IF(D119&lt;=60,"Da rinnovare","Ok")))</f>
        <v/>
      </c>
      <c r="F119" s="30"/>
      <c r="G119" s="30"/>
      <c r="H119" s="30"/>
    </row>
    <row r="120" customFormat="false" ht="19.5" hidden="false" customHeight="true" outlineLevel="0" collapsed="false">
      <c r="A120" s="34"/>
      <c r="B120" s="34"/>
      <c r="C120" s="35"/>
      <c r="D120" s="32" t="str">
        <f aca="true">IF(C120="","",C120-TODAY())</f>
        <v/>
      </c>
      <c r="E120" s="32" t="str">
        <f aca="false">IF(C120="","",IF(D120&lt;0,"Scaduto",IF(D120&lt;=60,"Da rinnovare","Ok")))</f>
        <v/>
      </c>
      <c r="F120" s="34"/>
      <c r="G120" s="34"/>
      <c r="H120" s="34"/>
    </row>
    <row r="121" customFormat="false" ht="19.5" hidden="false" customHeight="true" outlineLevel="0" collapsed="false">
      <c r="A121" s="30"/>
      <c r="B121" s="30"/>
      <c r="C121" s="31"/>
      <c r="D121" s="32" t="str">
        <f aca="true">IF(C121="","",C121-TODAY())</f>
        <v/>
      </c>
      <c r="E121" s="32" t="str">
        <f aca="false">IF(C121="","",IF(D121&lt;0,"Scaduto",IF(D121&lt;=60,"Da rinnovare","Ok")))</f>
        <v/>
      </c>
      <c r="F121" s="30"/>
      <c r="G121" s="30"/>
      <c r="H121" s="30"/>
    </row>
    <row r="122" customFormat="false" ht="19.5" hidden="false" customHeight="true" outlineLevel="0" collapsed="false">
      <c r="A122" s="34"/>
      <c r="B122" s="34"/>
      <c r="C122" s="35"/>
      <c r="D122" s="32" t="str">
        <f aca="true">IF(C122="","",C122-TODAY())</f>
        <v/>
      </c>
      <c r="E122" s="32" t="str">
        <f aca="false">IF(C122="","",IF(D122&lt;0,"Scaduto",IF(D122&lt;=60,"Da rinnovare","Ok")))</f>
        <v/>
      </c>
      <c r="F122" s="34"/>
      <c r="G122" s="34"/>
      <c r="H122" s="34"/>
    </row>
    <row r="123" customFormat="false" ht="19.5" hidden="false" customHeight="true" outlineLevel="0" collapsed="false">
      <c r="A123" s="30"/>
      <c r="B123" s="30"/>
      <c r="C123" s="31"/>
      <c r="D123" s="32" t="str">
        <f aca="true">IF(C123="","",C123-TODAY())</f>
        <v/>
      </c>
      <c r="E123" s="32" t="str">
        <f aca="false">IF(C123="","",IF(D123&lt;0,"Scaduto",IF(D123&lt;=60,"Da rinnovare","Ok")))</f>
        <v/>
      </c>
      <c r="F123" s="30"/>
      <c r="G123" s="30"/>
      <c r="H123" s="30"/>
    </row>
    <row r="124" customFormat="false" ht="19.5" hidden="false" customHeight="true" outlineLevel="0" collapsed="false">
      <c r="A124" s="34"/>
      <c r="B124" s="34"/>
      <c r="C124" s="35"/>
      <c r="D124" s="32" t="str">
        <f aca="true">IF(C124="","",C124-TODAY())</f>
        <v/>
      </c>
      <c r="E124" s="32" t="str">
        <f aca="false">IF(C124="","",IF(D124&lt;0,"Scaduto",IF(D124&lt;=60,"Da rinnovare","Ok")))</f>
        <v/>
      </c>
      <c r="F124" s="34"/>
      <c r="G124" s="34"/>
      <c r="H124" s="34"/>
    </row>
    <row r="125" customFormat="false" ht="19.5" hidden="false" customHeight="true" outlineLevel="0" collapsed="false">
      <c r="A125" s="30"/>
      <c r="B125" s="30"/>
      <c r="C125" s="31"/>
      <c r="D125" s="32" t="str">
        <f aca="true">IF(C125="","",C125-TODAY())</f>
        <v/>
      </c>
      <c r="E125" s="32" t="str">
        <f aca="false">IF(C125="","",IF(D125&lt;0,"Scaduto",IF(D125&lt;=60,"Da rinnovare","Ok")))</f>
        <v/>
      </c>
      <c r="F125" s="30"/>
      <c r="G125" s="30"/>
      <c r="H125" s="30"/>
    </row>
    <row r="126" customFormat="false" ht="19.5" hidden="false" customHeight="true" outlineLevel="0" collapsed="false">
      <c r="A126" s="34"/>
      <c r="B126" s="34"/>
      <c r="C126" s="35"/>
      <c r="D126" s="32" t="str">
        <f aca="true">IF(C126="","",C126-TODAY())</f>
        <v/>
      </c>
      <c r="E126" s="32" t="str">
        <f aca="false">IF(C126="","",IF(D126&lt;0,"Scaduto",IF(D126&lt;=60,"Da rinnovare","Ok")))</f>
        <v/>
      </c>
      <c r="F126" s="34"/>
      <c r="G126" s="34"/>
      <c r="H126" s="34"/>
    </row>
    <row r="127" customFormat="false" ht="19.5" hidden="false" customHeight="true" outlineLevel="0" collapsed="false">
      <c r="A127" s="30"/>
      <c r="B127" s="30"/>
      <c r="C127" s="31"/>
      <c r="D127" s="32" t="str">
        <f aca="true">IF(C127="","",C127-TODAY())</f>
        <v/>
      </c>
      <c r="E127" s="32" t="str">
        <f aca="false">IF(C127="","",IF(D127&lt;0,"Scaduto",IF(D127&lt;=60,"Da rinnovare","Ok")))</f>
        <v/>
      </c>
      <c r="F127" s="30"/>
      <c r="G127" s="30"/>
      <c r="H127" s="30"/>
    </row>
    <row r="128" customFormat="false" ht="19.5" hidden="false" customHeight="true" outlineLevel="0" collapsed="false">
      <c r="A128" s="34"/>
      <c r="B128" s="34"/>
      <c r="C128" s="35"/>
      <c r="D128" s="32" t="str">
        <f aca="true">IF(C128="","",C128-TODAY())</f>
        <v/>
      </c>
      <c r="E128" s="32" t="str">
        <f aca="false">IF(C128="","",IF(D128&lt;0,"Scaduto",IF(D128&lt;=60,"Da rinnovare","Ok")))</f>
        <v/>
      </c>
      <c r="F128" s="34"/>
      <c r="G128" s="34"/>
      <c r="H128" s="34"/>
    </row>
    <row r="129" customFormat="false" ht="19.5" hidden="false" customHeight="true" outlineLevel="0" collapsed="false">
      <c r="A129" s="30"/>
      <c r="B129" s="30"/>
      <c r="C129" s="31"/>
      <c r="D129" s="32" t="str">
        <f aca="true">IF(C129="","",C129-TODAY())</f>
        <v/>
      </c>
      <c r="E129" s="32" t="str">
        <f aca="false">IF(C129="","",IF(D129&lt;0,"Scaduto",IF(D129&lt;=60,"Da rinnovare","Ok")))</f>
        <v/>
      </c>
      <c r="F129" s="30"/>
      <c r="G129" s="30"/>
      <c r="H129" s="30"/>
    </row>
    <row r="130" customFormat="false" ht="19.5" hidden="false" customHeight="true" outlineLevel="0" collapsed="false">
      <c r="A130" s="34"/>
      <c r="B130" s="34"/>
      <c r="C130" s="35"/>
      <c r="D130" s="32" t="str">
        <f aca="true">IF(C130="","",C130-TODAY())</f>
        <v/>
      </c>
      <c r="E130" s="32" t="str">
        <f aca="false">IF(C130="","",IF(D130&lt;0,"Scaduto",IF(D130&lt;=60,"Da rinnovare","Ok")))</f>
        <v/>
      </c>
      <c r="F130" s="34"/>
      <c r="G130" s="34"/>
      <c r="H130" s="34"/>
    </row>
    <row r="131" customFormat="false" ht="19.5" hidden="false" customHeight="true" outlineLevel="0" collapsed="false">
      <c r="A131" s="30"/>
      <c r="B131" s="30"/>
      <c r="C131" s="31"/>
      <c r="D131" s="32" t="str">
        <f aca="true">IF(C131="","",C131-TODAY())</f>
        <v/>
      </c>
      <c r="E131" s="32" t="str">
        <f aca="false">IF(C131="","",IF(D131&lt;0,"Scaduto",IF(D131&lt;=60,"Da rinnovare","Ok")))</f>
        <v/>
      </c>
      <c r="F131" s="30"/>
      <c r="G131" s="30"/>
      <c r="H131" s="30"/>
    </row>
    <row r="132" customFormat="false" ht="19.5" hidden="false" customHeight="true" outlineLevel="0" collapsed="false">
      <c r="A132" s="34"/>
      <c r="B132" s="34"/>
      <c r="C132" s="35"/>
      <c r="D132" s="32" t="str">
        <f aca="true">IF(C132="","",C132-TODAY())</f>
        <v/>
      </c>
      <c r="E132" s="32" t="str">
        <f aca="false">IF(C132="","",IF(D132&lt;0,"Scaduto",IF(D132&lt;=60,"Da rinnovare","Ok")))</f>
        <v/>
      </c>
      <c r="F132" s="34"/>
      <c r="G132" s="34"/>
      <c r="H132" s="34"/>
    </row>
    <row r="133" customFormat="false" ht="19.5" hidden="false" customHeight="true" outlineLevel="0" collapsed="false">
      <c r="A133" s="30"/>
      <c r="B133" s="30"/>
      <c r="C133" s="31"/>
      <c r="D133" s="32" t="str">
        <f aca="true">IF(C133="","",C133-TODAY())</f>
        <v/>
      </c>
      <c r="E133" s="32" t="str">
        <f aca="false">IF(C133="","",IF(D133&lt;0,"Scaduto",IF(D133&lt;=60,"Da rinnovare","Ok")))</f>
        <v/>
      </c>
      <c r="F133" s="30"/>
      <c r="G133" s="30"/>
      <c r="H133" s="30"/>
    </row>
    <row r="134" customFormat="false" ht="19.5" hidden="false" customHeight="true" outlineLevel="0" collapsed="false">
      <c r="A134" s="34"/>
      <c r="B134" s="34"/>
      <c r="C134" s="35"/>
      <c r="D134" s="32" t="str">
        <f aca="true">IF(C134="","",C134-TODAY())</f>
        <v/>
      </c>
      <c r="E134" s="32" t="str">
        <f aca="false">IF(C134="","",IF(D134&lt;0,"Scaduto",IF(D134&lt;=60,"Da rinnovare","Ok")))</f>
        <v/>
      </c>
      <c r="F134" s="34"/>
      <c r="G134" s="34"/>
      <c r="H134" s="34"/>
    </row>
    <row r="135" customFormat="false" ht="19.5" hidden="false" customHeight="true" outlineLevel="0" collapsed="false">
      <c r="A135" s="30"/>
      <c r="B135" s="30"/>
      <c r="C135" s="31"/>
      <c r="D135" s="32" t="str">
        <f aca="true">IF(C135="","",C135-TODAY())</f>
        <v/>
      </c>
      <c r="E135" s="32" t="str">
        <f aca="false">IF(C135="","",IF(D135&lt;0,"Scaduto",IF(D135&lt;=60,"Da rinnovare","Ok")))</f>
        <v/>
      </c>
      <c r="F135" s="30"/>
      <c r="G135" s="30"/>
      <c r="H135" s="30"/>
    </row>
    <row r="136" customFormat="false" ht="19.5" hidden="false" customHeight="true" outlineLevel="0" collapsed="false">
      <c r="A136" s="34"/>
      <c r="B136" s="34"/>
      <c r="C136" s="35"/>
      <c r="D136" s="32" t="str">
        <f aca="true">IF(C136="","",C136-TODAY())</f>
        <v/>
      </c>
      <c r="E136" s="32" t="str">
        <f aca="false">IF(C136="","",IF(D136&lt;0,"Scaduto",IF(D136&lt;=60,"Da rinnovare","Ok")))</f>
        <v/>
      </c>
      <c r="F136" s="34"/>
      <c r="G136" s="34"/>
      <c r="H136" s="34"/>
    </row>
    <row r="137" customFormat="false" ht="19.5" hidden="false" customHeight="true" outlineLevel="0" collapsed="false">
      <c r="A137" s="30"/>
      <c r="B137" s="30"/>
      <c r="C137" s="31"/>
      <c r="D137" s="32" t="str">
        <f aca="true">IF(C137="","",C137-TODAY())</f>
        <v/>
      </c>
      <c r="E137" s="32" t="str">
        <f aca="false">IF(C137="","",IF(D137&lt;0,"Scaduto",IF(D137&lt;=60,"Da rinnovare","Ok")))</f>
        <v/>
      </c>
      <c r="F137" s="30"/>
      <c r="G137" s="30"/>
      <c r="H137" s="30"/>
    </row>
    <row r="138" customFormat="false" ht="19.5" hidden="false" customHeight="true" outlineLevel="0" collapsed="false">
      <c r="A138" s="34"/>
      <c r="B138" s="34"/>
      <c r="C138" s="35"/>
      <c r="D138" s="32" t="str">
        <f aca="true">IF(C138="","",C138-TODAY())</f>
        <v/>
      </c>
      <c r="E138" s="32" t="str">
        <f aca="false">IF(C138="","",IF(D138&lt;0,"Scaduto",IF(D138&lt;=60,"Da rinnovare","Ok")))</f>
        <v/>
      </c>
      <c r="F138" s="34"/>
      <c r="G138" s="34"/>
      <c r="H138" s="34"/>
    </row>
    <row r="139" customFormat="false" ht="19.5" hidden="false" customHeight="true" outlineLevel="0" collapsed="false">
      <c r="A139" s="30"/>
      <c r="B139" s="30"/>
      <c r="C139" s="31"/>
      <c r="D139" s="32" t="str">
        <f aca="true">IF(C139="","",C139-TODAY())</f>
        <v/>
      </c>
      <c r="E139" s="32" t="str">
        <f aca="false">IF(C139="","",IF(D139&lt;0,"Scaduto",IF(D139&lt;=60,"Da rinnovare","Ok")))</f>
        <v/>
      </c>
      <c r="F139" s="30"/>
      <c r="G139" s="30"/>
      <c r="H139" s="30"/>
    </row>
    <row r="140" customFormat="false" ht="19.5" hidden="false" customHeight="true" outlineLevel="0" collapsed="false">
      <c r="A140" s="34"/>
      <c r="B140" s="34"/>
      <c r="C140" s="35"/>
      <c r="D140" s="32" t="str">
        <f aca="true">IF(C140="","",C140-TODAY())</f>
        <v/>
      </c>
      <c r="E140" s="32" t="str">
        <f aca="false">IF(C140="","",IF(D140&lt;0,"Scaduto",IF(D140&lt;=60,"Da rinnovare","Ok")))</f>
        <v/>
      </c>
      <c r="F140" s="34"/>
      <c r="G140" s="34"/>
      <c r="H140" s="34"/>
    </row>
    <row r="141" customFormat="false" ht="19.5" hidden="false" customHeight="true" outlineLevel="0" collapsed="false">
      <c r="A141" s="30"/>
      <c r="B141" s="30"/>
      <c r="C141" s="31"/>
      <c r="D141" s="32" t="str">
        <f aca="true">IF(C141="","",C141-TODAY())</f>
        <v/>
      </c>
      <c r="E141" s="32" t="str">
        <f aca="false">IF(C141="","",IF(D141&lt;0,"Scaduto",IF(D141&lt;=60,"Da rinnovare","Ok")))</f>
        <v/>
      </c>
      <c r="F141" s="30"/>
      <c r="G141" s="30"/>
      <c r="H141" s="30"/>
    </row>
    <row r="142" customFormat="false" ht="19.5" hidden="false" customHeight="true" outlineLevel="0" collapsed="false">
      <c r="A142" s="34"/>
      <c r="B142" s="34"/>
      <c r="C142" s="35"/>
      <c r="D142" s="32" t="str">
        <f aca="true">IF(C142="","",C142-TODAY())</f>
        <v/>
      </c>
      <c r="E142" s="32" t="str">
        <f aca="false">IF(C142="","",IF(D142&lt;0,"Scaduto",IF(D142&lt;=60,"Da rinnovare","Ok")))</f>
        <v/>
      </c>
      <c r="F142" s="34"/>
      <c r="G142" s="34"/>
      <c r="H142" s="34"/>
    </row>
    <row r="143" customFormat="false" ht="19.5" hidden="false" customHeight="true" outlineLevel="0" collapsed="false">
      <c r="A143" s="30"/>
      <c r="B143" s="30"/>
      <c r="C143" s="31"/>
      <c r="D143" s="32" t="str">
        <f aca="true">IF(C143="","",C143-TODAY())</f>
        <v/>
      </c>
      <c r="E143" s="32" t="str">
        <f aca="false">IF(C143="","",IF(D143&lt;0,"Scaduto",IF(D143&lt;=60,"Da rinnovare","Ok")))</f>
        <v/>
      </c>
      <c r="F143" s="30"/>
      <c r="G143" s="30"/>
      <c r="H143" s="30"/>
    </row>
    <row r="144" customFormat="false" ht="19.5" hidden="false" customHeight="true" outlineLevel="0" collapsed="false">
      <c r="A144" s="34"/>
      <c r="B144" s="34"/>
      <c r="C144" s="35"/>
      <c r="D144" s="32" t="str">
        <f aca="true">IF(C144="","",C144-TODAY())</f>
        <v/>
      </c>
      <c r="E144" s="32" t="str">
        <f aca="false">IF(C144="","",IF(D144&lt;0,"Scaduto",IF(D144&lt;=60,"Da rinnovare","Ok")))</f>
        <v/>
      </c>
      <c r="F144" s="34"/>
      <c r="G144" s="34"/>
      <c r="H144" s="34"/>
    </row>
    <row r="145" customFormat="false" ht="19.5" hidden="false" customHeight="true" outlineLevel="0" collapsed="false">
      <c r="A145" s="30"/>
      <c r="B145" s="30"/>
      <c r="C145" s="31"/>
      <c r="D145" s="32" t="str">
        <f aca="true">IF(C145="","",C145-TODAY())</f>
        <v/>
      </c>
      <c r="E145" s="32" t="str">
        <f aca="false">IF(C145="","",IF(D145&lt;0,"Scaduto",IF(D145&lt;=60,"Da rinnovare","Ok")))</f>
        <v/>
      </c>
      <c r="F145" s="30"/>
      <c r="G145" s="30"/>
      <c r="H145" s="30"/>
    </row>
    <row r="146" customFormat="false" ht="19.5" hidden="false" customHeight="true" outlineLevel="0" collapsed="false">
      <c r="A146" s="34"/>
      <c r="B146" s="34"/>
      <c r="C146" s="35"/>
      <c r="D146" s="32" t="str">
        <f aca="true">IF(C146="","",C146-TODAY())</f>
        <v/>
      </c>
      <c r="E146" s="32" t="str">
        <f aca="false">IF(C146="","",IF(D146&lt;0,"Scaduto",IF(D146&lt;=60,"Da rinnovare","Ok")))</f>
        <v/>
      </c>
      <c r="F146" s="34"/>
      <c r="G146" s="34"/>
      <c r="H146" s="34"/>
    </row>
    <row r="147" customFormat="false" ht="19.5" hidden="false" customHeight="true" outlineLevel="0" collapsed="false">
      <c r="A147" s="30"/>
      <c r="B147" s="30"/>
      <c r="C147" s="31"/>
      <c r="D147" s="32" t="str">
        <f aca="true">IF(C147="","",C147-TODAY())</f>
        <v/>
      </c>
      <c r="E147" s="32" t="str">
        <f aca="false">IF(C147="","",IF(D147&lt;0,"Scaduto",IF(D147&lt;=60,"Da rinnovare","Ok")))</f>
        <v/>
      </c>
      <c r="F147" s="30"/>
      <c r="G147" s="30"/>
      <c r="H147" s="30"/>
    </row>
    <row r="148" customFormat="false" ht="19.5" hidden="false" customHeight="true" outlineLevel="0" collapsed="false">
      <c r="A148" s="34"/>
      <c r="B148" s="34"/>
      <c r="C148" s="35"/>
      <c r="D148" s="32" t="str">
        <f aca="true">IF(C148="","",C148-TODAY())</f>
        <v/>
      </c>
      <c r="E148" s="32" t="str">
        <f aca="false">IF(C148="","",IF(D148&lt;0,"Scaduto",IF(D148&lt;=60,"Da rinnovare","Ok")))</f>
        <v/>
      </c>
      <c r="F148" s="34"/>
      <c r="G148" s="34"/>
      <c r="H148" s="34"/>
    </row>
    <row r="149" customFormat="false" ht="19.5" hidden="false" customHeight="true" outlineLevel="0" collapsed="false">
      <c r="A149" s="30"/>
      <c r="B149" s="30"/>
      <c r="C149" s="31"/>
      <c r="D149" s="32" t="str">
        <f aca="true">IF(C149="","",C149-TODAY())</f>
        <v/>
      </c>
      <c r="E149" s="32" t="str">
        <f aca="false">IF(C149="","",IF(D149&lt;0,"Scaduto",IF(D149&lt;=60,"Da rinnovare","Ok")))</f>
        <v/>
      </c>
      <c r="F149" s="30"/>
      <c r="G149" s="30"/>
      <c r="H149" s="30"/>
    </row>
    <row r="150" customFormat="false" ht="19.5" hidden="false" customHeight="true" outlineLevel="0" collapsed="false">
      <c r="A150" s="34"/>
      <c r="B150" s="34"/>
      <c r="C150" s="35"/>
      <c r="D150" s="32" t="str">
        <f aca="true">IF(C150="","",C150-TODAY())</f>
        <v/>
      </c>
      <c r="E150" s="32" t="str">
        <f aca="false">IF(C150="","",IF(D150&lt;0,"Scaduto",IF(D150&lt;=60,"Da rinnovare","Ok")))</f>
        <v/>
      </c>
      <c r="F150" s="34"/>
      <c r="G150" s="34"/>
      <c r="H150" s="34"/>
    </row>
    <row r="151" customFormat="false" ht="19.5" hidden="false" customHeight="true" outlineLevel="0" collapsed="false">
      <c r="A151" s="30"/>
      <c r="B151" s="30"/>
      <c r="C151" s="31"/>
      <c r="D151" s="32" t="str">
        <f aca="true">IF(C151="","",C151-TODAY())</f>
        <v/>
      </c>
      <c r="E151" s="32" t="str">
        <f aca="false">IF(C151="","",IF(D151&lt;0,"Scaduto",IF(D151&lt;=60,"Da rinnovare","Ok")))</f>
        <v/>
      </c>
      <c r="F151" s="30"/>
      <c r="G151" s="30"/>
      <c r="H151" s="30"/>
    </row>
    <row r="152" customFormat="false" ht="19.5" hidden="false" customHeight="true" outlineLevel="0" collapsed="false">
      <c r="A152" s="34"/>
      <c r="B152" s="34"/>
      <c r="C152" s="35"/>
      <c r="D152" s="32" t="str">
        <f aca="true">IF(C152="","",C152-TODAY())</f>
        <v/>
      </c>
      <c r="E152" s="32" t="str">
        <f aca="false">IF(C152="","",IF(D152&lt;0,"Scaduto",IF(D152&lt;=60,"Da rinnovare","Ok")))</f>
        <v/>
      </c>
      <c r="F152" s="34"/>
      <c r="G152" s="34"/>
      <c r="H152" s="34"/>
    </row>
    <row r="153" customFormat="false" ht="19.5" hidden="false" customHeight="true" outlineLevel="0" collapsed="false">
      <c r="A153" s="30"/>
      <c r="B153" s="30"/>
      <c r="C153" s="31"/>
      <c r="D153" s="32" t="str">
        <f aca="true">IF(C153="","",C153-TODAY())</f>
        <v/>
      </c>
      <c r="E153" s="32" t="str">
        <f aca="false">IF(C153="","",IF(D153&lt;0,"Scaduto",IF(D153&lt;=60,"Da rinnovare","Ok")))</f>
        <v/>
      </c>
      <c r="F153" s="30"/>
      <c r="G153" s="30"/>
      <c r="H153" s="30"/>
    </row>
    <row r="154" customFormat="false" ht="19.5" hidden="false" customHeight="true" outlineLevel="0" collapsed="false">
      <c r="A154" s="34"/>
      <c r="B154" s="34"/>
      <c r="C154" s="35"/>
      <c r="D154" s="32" t="str">
        <f aca="true">IF(C154="","",C154-TODAY())</f>
        <v/>
      </c>
      <c r="E154" s="32" t="str">
        <f aca="false">IF(C154="","",IF(D154&lt;0,"Scaduto",IF(D154&lt;=60,"Da rinnovare","Ok")))</f>
        <v/>
      </c>
      <c r="F154" s="34"/>
      <c r="G154" s="34"/>
      <c r="H154" s="34"/>
    </row>
    <row r="155" customFormat="false" ht="19.5" hidden="false" customHeight="true" outlineLevel="0" collapsed="false">
      <c r="A155" s="30"/>
      <c r="B155" s="30"/>
      <c r="C155" s="31"/>
      <c r="D155" s="32" t="str">
        <f aca="true">IF(C155="","",C155-TODAY())</f>
        <v/>
      </c>
      <c r="E155" s="32" t="str">
        <f aca="false">IF(C155="","",IF(D155&lt;0,"Scaduto",IF(D155&lt;=60,"Da rinnovare","Ok")))</f>
        <v/>
      </c>
      <c r="F155" s="30"/>
      <c r="G155" s="30"/>
      <c r="H155" s="30"/>
    </row>
    <row r="156" customFormat="false" ht="19.5" hidden="false" customHeight="true" outlineLevel="0" collapsed="false">
      <c r="A156" s="34"/>
      <c r="B156" s="34"/>
      <c r="C156" s="35"/>
      <c r="D156" s="32" t="str">
        <f aca="true">IF(C156="","",C156-TODAY())</f>
        <v/>
      </c>
      <c r="E156" s="32" t="str">
        <f aca="false">IF(C156="","",IF(D156&lt;0,"Scaduto",IF(D156&lt;=60,"Da rinnovare","Ok")))</f>
        <v/>
      </c>
      <c r="F156" s="34"/>
      <c r="G156" s="34"/>
      <c r="H156" s="34"/>
    </row>
    <row r="157" customFormat="false" ht="19.5" hidden="false" customHeight="true" outlineLevel="0" collapsed="false">
      <c r="A157" s="30"/>
      <c r="B157" s="30"/>
      <c r="C157" s="31"/>
      <c r="D157" s="32" t="str">
        <f aca="true">IF(C157="","",C157-TODAY())</f>
        <v/>
      </c>
      <c r="E157" s="32" t="str">
        <f aca="false">IF(C157="","",IF(D157&lt;0,"Scaduto",IF(D157&lt;=60,"Da rinnovare","Ok")))</f>
        <v/>
      </c>
      <c r="F157" s="30"/>
      <c r="G157" s="30"/>
      <c r="H157" s="30"/>
    </row>
    <row r="158" customFormat="false" ht="19.5" hidden="false" customHeight="true" outlineLevel="0" collapsed="false">
      <c r="A158" s="34"/>
      <c r="B158" s="34"/>
      <c r="C158" s="35"/>
      <c r="D158" s="32" t="str">
        <f aca="true">IF(C158="","",C158-TODAY())</f>
        <v/>
      </c>
      <c r="E158" s="32" t="str">
        <f aca="false">IF(C158="","",IF(D158&lt;0,"Scaduto",IF(D158&lt;=60,"Da rinnovare","Ok")))</f>
        <v/>
      </c>
      <c r="F158" s="34"/>
      <c r="G158" s="34"/>
      <c r="H158" s="34"/>
    </row>
    <row r="159" customFormat="false" ht="19.5" hidden="false" customHeight="true" outlineLevel="0" collapsed="false">
      <c r="A159" s="30"/>
      <c r="B159" s="30"/>
      <c r="C159" s="31"/>
      <c r="D159" s="32" t="str">
        <f aca="true">IF(C159="","",C159-TODAY())</f>
        <v/>
      </c>
      <c r="E159" s="32" t="str">
        <f aca="false">IF(C159="","",IF(D159&lt;0,"Scaduto",IF(D159&lt;=60,"Da rinnovare","Ok")))</f>
        <v/>
      </c>
      <c r="F159" s="30"/>
      <c r="G159" s="30"/>
      <c r="H159" s="30"/>
    </row>
    <row r="160" customFormat="false" ht="19.5" hidden="false" customHeight="true" outlineLevel="0" collapsed="false">
      <c r="A160" s="34"/>
      <c r="B160" s="34"/>
      <c r="C160" s="35"/>
      <c r="D160" s="32" t="str">
        <f aca="true">IF(C160="","",C160-TODAY())</f>
        <v/>
      </c>
      <c r="E160" s="32" t="str">
        <f aca="false">IF(C160="","",IF(D160&lt;0,"Scaduto",IF(D160&lt;=60,"Da rinnovare","Ok")))</f>
        <v/>
      </c>
      <c r="F160" s="34"/>
      <c r="G160" s="34"/>
      <c r="H160" s="34"/>
    </row>
    <row r="161" customFormat="false" ht="19.5" hidden="false" customHeight="true" outlineLevel="0" collapsed="false">
      <c r="A161" s="30"/>
      <c r="B161" s="30"/>
      <c r="C161" s="31"/>
      <c r="D161" s="32" t="str">
        <f aca="true">IF(C161="","",C161-TODAY())</f>
        <v/>
      </c>
      <c r="E161" s="32" t="str">
        <f aca="false">IF(C161="","",IF(D161&lt;0,"Scaduto",IF(D161&lt;=60,"Da rinnovare","Ok")))</f>
        <v/>
      </c>
      <c r="F161" s="30"/>
      <c r="G161" s="30"/>
      <c r="H161" s="30"/>
    </row>
    <row r="162" customFormat="false" ht="19.5" hidden="false" customHeight="true" outlineLevel="0" collapsed="false">
      <c r="A162" s="34"/>
      <c r="B162" s="34"/>
      <c r="C162" s="35"/>
      <c r="D162" s="32" t="str">
        <f aca="true">IF(C162="","",C162-TODAY())</f>
        <v/>
      </c>
      <c r="E162" s="32" t="str">
        <f aca="false">IF(C162="","",IF(D162&lt;0,"Scaduto",IF(D162&lt;=60,"Da rinnovare","Ok")))</f>
        <v/>
      </c>
      <c r="F162" s="34"/>
      <c r="G162" s="34"/>
      <c r="H162" s="34"/>
    </row>
    <row r="163" customFormat="false" ht="19.5" hidden="false" customHeight="true" outlineLevel="0" collapsed="false">
      <c r="A163" s="30"/>
      <c r="B163" s="30"/>
      <c r="C163" s="31"/>
      <c r="D163" s="32" t="str">
        <f aca="true">IF(C163="","",C163-TODAY())</f>
        <v/>
      </c>
      <c r="E163" s="32" t="str">
        <f aca="false">IF(C163="","",IF(D163&lt;0,"Scaduto",IF(D163&lt;=60,"Da rinnovare","Ok")))</f>
        <v/>
      </c>
      <c r="F163" s="30"/>
      <c r="G163" s="30"/>
      <c r="H163" s="30"/>
    </row>
    <row r="164" customFormat="false" ht="19.5" hidden="false" customHeight="true" outlineLevel="0" collapsed="false">
      <c r="A164" s="34"/>
      <c r="B164" s="34"/>
      <c r="C164" s="35"/>
      <c r="D164" s="32" t="str">
        <f aca="true">IF(C164="","",C164-TODAY())</f>
        <v/>
      </c>
      <c r="E164" s="32" t="str">
        <f aca="false">IF(C164="","",IF(D164&lt;0,"Scaduto",IF(D164&lt;=60,"Da rinnovare","Ok")))</f>
        <v/>
      </c>
      <c r="F164" s="34"/>
      <c r="G164" s="34"/>
      <c r="H164" s="34"/>
    </row>
    <row r="165" customFormat="false" ht="19.5" hidden="false" customHeight="true" outlineLevel="0" collapsed="false">
      <c r="A165" s="30"/>
      <c r="B165" s="30"/>
      <c r="C165" s="31"/>
      <c r="D165" s="32" t="str">
        <f aca="true">IF(C165="","",C165-TODAY())</f>
        <v/>
      </c>
      <c r="E165" s="32" t="str">
        <f aca="false">IF(C165="","",IF(D165&lt;0,"Scaduto",IF(D165&lt;=60,"Da rinnovare","Ok")))</f>
        <v/>
      </c>
      <c r="F165" s="30"/>
      <c r="G165" s="30"/>
      <c r="H165" s="30"/>
    </row>
    <row r="166" customFormat="false" ht="19.5" hidden="false" customHeight="true" outlineLevel="0" collapsed="false">
      <c r="A166" s="34"/>
      <c r="B166" s="34"/>
      <c r="C166" s="35"/>
      <c r="D166" s="32" t="str">
        <f aca="true">IF(C166="","",C166-TODAY())</f>
        <v/>
      </c>
      <c r="E166" s="32" t="str">
        <f aca="false">IF(C166="","",IF(D166&lt;0,"Scaduto",IF(D166&lt;=60,"Da rinnovare","Ok")))</f>
        <v/>
      </c>
      <c r="F166" s="34"/>
      <c r="G166" s="34"/>
      <c r="H166" s="34"/>
    </row>
    <row r="167" customFormat="false" ht="19.5" hidden="false" customHeight="true" outlineLevel="0" collapsed="false">
      <c r="A167" s="30"/>
      <c r="B167" s="30"/>
      <c r="C167" s="31"/>
      <c r="D167" s="32" t="str">
        <f aca="true">IF(C167="","",C167-TODAY())</f>
        <v/>
      </c>
      <c r="E167" s="32" t="str">
        <f aca="false">IF(C167="","",IF(D167&lt;0,"Scaduto",IF(D167&lt;=60,"Da rinnovare","Ok")))</f>
        <v/>
      </c>
      <c r="F167" s="30"/>
      <c r="G167" s="30"/>
      <c r="H167" s="30"/>
    </row>
    <row r="168" customFormat="false" ht="19.5" hidden="false" customHeight="true" outlineLevel="0" collapsed="false">
      <c r="A168" s="34"/>
      <c r="B168" s="34"/>
      <c r="C168" s="35"/>
      <c r="D168" s="32" t="str">
        <f aca="true">IF(C168="","",C168-TODAY())</f>
        <v/>
      </c>
      <c r="E168" s="32" t="str">
        <f aca="false">IF(C168="","",IF(D168&lt;0,"Scaduto",IF(D168&lt;=60,"Da rinnovare","Ok")))</f>
        <v/>
      </c>
      <c r="F168" s="34"/>
      <c r="G168" s="34"/>
      <c r="H168" s="34"/>
    </row>
    <row r="169" customFormat="false" ht="19.5" hidden="false" customHeight="true" outlineLevel="0" collapsed="false">
      <c r="A169" s="30"/>
      <c r="B169" s="30"/>
      <c r="C169" s="31"/>
      <c r="D169" s="32" t="str">
        <f aca="true">IF(C169="","",C169-TODAY())</f>
        <v/>
      </c>
      <c r="E169" s="32" t="str">
        <f aca="false">IF(C169="","",IF(D169&lt;0,"Scaduto",IF(D169&lt;=60,"Da rinnovare","Ok")))</f>
        <v/>
      </c>
      <c r="F169" s="30"/>
      <c r="G169" s="30"/>
      <c r="H169" s="30"/>
    </row>
    <row r="170" customFormat="false" ht="19.5" hidden="false" customHeight="true" outlineLevel="0" collapsed="false">
      <c r="A170" s="34"/>
      <c r="B170" s="34"/>
      <c r="C170" s="35"/>
      <c r="D170" s="32" t="str">
        <f aca="true">IF(C170="","",C170-TODAY())</f>
        <v/>
      </c>
      <c r="E170" s="32" t="str">
        <f aca="false">IF(C170="","",IF(D170&lt;0,"Scaduto",IF(D170&lt;=60,"Da rinnovare","Ok")))</f>
        <v/>
      </c>
      <c r="F170" s="34"/>
      <c r="G170" s="34"/>
      <c r="H170" s="34"/>
    </row>
    <row r="171" customFormat="false" ht="19.5" hidden="false" customHeight="true" outlineLevel="0" collapsed="false">
      <c r="A171" s="30"/>
      <c r="B171" s="30"/>
      <c r="C171" s="31"/>
      <c r="D171" s="32" t="str">
        <f aca="true">IF(C171="","",C171-TODAY())</f>
        <v/>
      </c>
      <c r="E171" s="32" t="str">
        <f aca="false">IF(C171="","",IF(D171&lt;0,"Scaduto",IF(D171&lt;=60,"Da rinnovare","Ok")))</f>
        <v/>
      </c>
      <c r="F171" s="30"/>
      <c r="G171" s="30"/>
      <c r="H171" s="30"/>
    </row>
    <row r="172" customFormat="false" ht="19.5" hidden="false" customHeight="true" outlineLevel="0" collapsed="false">
      <c r="A172" s="34"/>
      <c r="B172" s="34"/>
      <c r="C172" s="35"/>
      <c r="D172" s="32" t="str">
        <f aca="true">IF(C172="","",C172-TODAY())</f>
        <v/>
      </c>
      <c r="E172" s="32" t="str">
        <f aca="false">IF(C172="","",IF(D172&lt;0,"Scaduto",IF(D172&lt;=60,"Da rinnovare","Ok")))</f>
        <v/>
      </c>
      <c r="F172" s="34"/>
      <c r="G172" s="34"/>
      <c r="H172" s="34"/>
    </row>
    <row r="173" customFormat="false" ht="19.5" hidden="false" customHeight="true" outlineLevel="0" collapsed="false">
      <c r="A173" s="30"/>
      <c r="B173" s="30"/>
      <c r="C173" s="31"/>
      <c r="D173" s="32" t="str">
        <f aca="true">IF(C173="","",C173-TODAY())</f>
        <v/>
      </c>
      <c r="E173" s="32" t="str">
        <f aca="false">IF(C173="","",IF(D173&lt;0,"Scaduto",IF(D173&lt;=60,"Da rinnovare","Ok")))</f>
        <v/>
      </c>
      <c r="F173" s="30"/>
      <c r="G173" s="30"/>
      <c r="H173" s="30"/>
    </row>
    <row r="174" customFormat="false" ht="19.5" hidden="false" customHeight="true" outlineLevel="0" collapsed="false">
      <c r="A174" s="34"/>
      <c r="B174" s="34"/>
      <c r="C174" s="35"/>
      <c r="D174" s="32" t="str">
        <f aca="true">IF(C174="","",C174-TODAY())</f>
        <v/>
      </c>
      <c r="E174" s="32" t="str">
        <f aca="false">IF(C174="","",IF(D174&lt;0,"Scaduto",IF(D174&lt;=60,"Da rinnovare","Ok")))</f>
        <v/>
      </c>
      <c r="F174" s="34"/>
      <c r="G174" s="34"/>
      <c r="H174" s="34"/>
    </row>
    <row r="175" customFormat="false" ht="19.5" hidden="false" customHeight="true" outlineLevel="0" collapsed="false">
      <c r="A175" s="30"/>
      <c r="B175" s="30"/>
      <c r="C175" s="31"/>
      <c r="D175" s="32" t="str">
        <f aca="true">IF(C175="","",C175-TODAY())</f>
        <v/>
      </c>
      <c r="E175" s="32" t="str">
        <f aca="false">IF(C175="","",IF(D175&lt;0,"Scaduto",IF(D175&lt;=60,"Da rinnovare","Ok")))</f>
        <v/>
      </c>
      <c r="F175" s="30"/>
      <c r="G175" s="30"/>
      <c r="H175" s="30"/>
    </row>
    <row r="176" customFormat="false" ht="19.5" hidden="false" customHeight="true" outlineLevel="0" collapsed="false">
      <c r="A176" s="34"/>
      <c r="B176" s="34"/>
      <c r="C176" s="35"/>
      <c r="D176" s="32" t="str">
        <f aca="true">IF(C176="","",C176-TODAY())</f>
        <v/>
      </c>
      <c r="E176" s="32" t="str">
        <f aca="false">IF(C176="","",IF(D176&lt;0,"Scaduto",IF(D176&lt;=60,"Da rinnovare","Ok")))</f>
        <v/>
      </c>
      <c r="F176" s="34"/>
      <c r="G176" s="34"/>
      <c r="H176" s="34"/>
    </row>
    <row r="177" customFormat="false" ht="19.5" hidden="false" customHeight="true" outlineLevel="0" collapsed="false">
      <c r="A177" s="30"/>
      <c r="B177" s="30"/>
      <c r="C177" s="31"/>
      <c r="D177" s="32" t="str">
        <f aca="true">IF(C177="","",C177-TODAY())</f>
        <v/>
      </c>
      <c r="E177" s="32" t="str">
        <f aca="false">IF(C177="","",IF(D177&lt;0,"Scaduto",IF(D177&lt;=60,"Da rinnovare","Ok")))</f>
        <v/>
      </c>
      <c r="F177" s="30"/>
      <c r="G177" s="30"/>
      <c r="H177" s="30"/>
    </row>
    <row r="178" customFormat="false" ht="19.5" hidden="false" customHeight="true" outlineLevel="0" collapsed="false">
      <c r="A178" s="34"/>
      <c r="B178" s="34"/>
      <c r="C178" s="35"/>
      <c r="D178" s="32" t="str">
        <f aca="true">IF(C178="","",C178-TODAY())</f>
        <v/>
      </c>
      <c r="E178" s="32" t="str">
        <f aca="false">IF(C178="","",IF(D178&lt;0,"Scaduto",IF(D178&lt;=60,"Da rinnovare","Ok")))</f>
        <v/>
      </c>
      <c r="F178" s="34"/>
      <c r="G178" s="34"/>
      <c r="H178" s="34"/>
    </row>
    <row r="179" customFormat="false" ht="19.5" hidden="false" customHeight="true" outlineLevel="0" collapsed="false">
      <c r="A179" s="30"/>
      <c r="B179" s="30"/>
      <c r="C179" s="31"/>
      <c r="D179" s="32" t="str">
        <f aca="true">IF(C179="","",C179-TODAY())</f>
        <v/>
      </c>
      <c r="E179" s="32" t="str">
        <f aca="false">IF(C179="","",IF(D179&lt;0,"Scaduto",IF(D179&lt;=60,"Da rinnovare","Ok")))</f>
        <v/>
      </c>
      <c r="F179" s="30"/>
      <c r="G179" s="30"/>
      <c r="H179" s="30"/>
    </row>
    <row r="180" customFormat="false" ht="19.5" hidden="false" customHeight="true" outlineLevel="0" collapsed="false">
      <c r="A180" s="34"/>
      <c r="B180" s="34"/>
      <c r="C180" s="35"/>
      <c r="D180" s="32" t="str">
        <f aca="true">IF(C180="","",C180-TODAY())</f>
        <v/>
      </c>
      <c r="E180" s="32" t="str">
        <f aca="false">IF(C180="","",IF(D180&lt;0,"Scaduto",IF(D180&lt;=60,"Da rinnovare","Ok")))</f>
        <v/>
      </c>
      <c r="F180" s="34"/>
      <c r="G180" s="34"/>
      <c r="H180" s="34"/>
    </row>
    <row r="181" customFormat="false" ht="19.5" hidden="false" customHeight="true" outlineLevel="0" collapsed="false">
      <c r="A181" s="30"/>
      <c r="B181" s="30"/>
      <c r="C181" s="31"/>
      <c r="D181" s="32" t="str">
        <f aca="true">IF(C181="","",C181-TODAY())</f>
        <v/>
      </c>
      <c r="E181" s="32" t="str">
        <f aca="false">IF(C181="","",IF(D181&lt;0,"Scaduto",IF(D181&lt;=60,"Da rinnovare","Ok")))</f>
        <v/>
      </c>
      <c r="F181" s="30"/>
      <c r="G181" s="30"/>
      <c r="H181" s="30"/>
    </row>
    <row r="182" customFormat="false" ht="19.5" hidden="false" customHeight="true" outlineLevel="0" collapsed="false">
      <c r="A182" s="34"/>
      <c r="B182" s="34"/>
      <c r="C182" s="35"/>
      <c r="D182" s="32" t="str">
        <f aca="true">IF(C182="","",C182-TODAY())</f>
        <v/>
      </c>
      <c r="E182" s="32" t="str">
        <f aca="false">IF(C182="","",IF(D182&lt;0,"Scaduto",IF(D182&lt;=60,"Da rinnovare","Ok")))</f>
        <v/>
      </c>
      <c r="F182" s="34"/>
      <c r="G182" s="34"/>
      <c r="H182" s="34"/>
    </row>
    <row r="183" customFormat="false" ht="19.5" hidden="false" customHeight="true" outlineLevel="0" collapsed="false">
      <c r="A183" s="30"/>
      <c r="B183" s="30"/>
      <c r="C183" s="31"/>
      <c r="D183" s="32" t="str">
        <f aca="true">IF(C183="","",C183-TODAY())</f>
        <v/>
      </c>
      <c r="E183" s="32" t="str">
        <f aca="false">IF(C183="","",IF(D183&lt;0,"Scaduto",IF(D183&lt;=60,"Da rinnovare","Ok")))</f>
        <v/>
      </c>
      <c r="F183" s="30"/>
      <c r="G183" s="30"/>
      <c r="H183" s="30"/>
    </row>
    <row r="184" customFormat="false" ht="19.5" hidden="false" customHeight="true" outlineLevel="0" collapsed="false">
      <c r="A184" s="34"/>
      <c r="B184" s="34"/>
      <c r="C184" s="35"/>
      <c r="D184" s="32" t="str">
        <f aca="true">IF(C184="","",C184-TODAY())</f>
        <v/>
      </c>
      <c r="E184" s="32" t="str">
        <f aca="false">IF(C184="","",IF(D184&lt;0,"Scaduto",IF(D184&lt;=60,"Da rinnovare","Ok")))</f>
        <v/>
      </c>
      <c r="F184" s="34"/>
      <c r="G184" s="34"/>
      <c r="H184" s="34"/>
    </row>
    <row r="185" customFormat="false" ht="19.5" hidden="false" customHeight="true" outlineLevel="0" collapsed="false">
      <c r="A185" s="30"/>
      <c r="B185" s="30"/>
      <c r="C185" s="31"/>
      <c r="D185" s="32" t="str">
        <f aca="true">IF(C185="","",C185-TODAY())</f>
        <v/>
      </c>
      <c r="E185" s="32" t="str">
        <f aca="false">IF(C185="","",IF(D185&lt;0,"Scaduto",IF(D185&lt;=60,"Da rinnovare","Ok")))</f>
        <v/>
      </c>
      <c r="F185" s="30"/>
      <c r="G185" s="30"/>
      <c r="H185" s="30"/>
    </row>
    <row r="186" customFormat="false" ht="19.5" hidden="false" customHeight="true" outlineLevel="0" collapsed="false">
      <c r="A186" s="34"/>
      <c r="B186" s="34"/>
      <c r="C186" s="35"/>
      <c r="D186" s="32" t="str">
        <f aca="true">IF(C186="","",C186-TODAY())</f>
        <v/>
      </c>
      <c r="E186" s="32" t="str">
        <f aca="false">IF(C186="","",IF(D186&lt;0,"Scaduto",IF(D186&lt;=60,"Da rinnovare","Ok")))</f>
        <v/>
      </c>
      <c r="F186" s="34"/>
      <c r="G186" s="34"/>
      <c r="H186" s="34"/>
    </row>
    <row r="187" customFormat="false" ht="19.5" hidden="false" customHeight="true" outlineLevel="0" collapsed="false">
      <c r="A187" s="30"/>
      <c r="B187" s="30"/>
      <c r="C187" s="31"/>
      <c r="D187" s="32" t="str">
        <f aca="true">IF(C187="","",C187-TODAY())</f>
        <v/>
      </c>
      <c r="E187" s="32" t="str">
        <f aca="false">IF(C187="","",IF(D187&lt;0,"Scaduto",IF(D187&lt;=60,"Da rinnovare","Ok")))</f>
        <v/>
      </c>
      <c r="F187" s="30"/>
      <c r="G187" s="30"/>
      <c r="H187" s="30"/>
    </row>
    <row r="188" customFormat="false" ht="19.5" hidden="false" customHeight="true" outlineLevel="0" collapsed="false">
      <c r="A188" s="34"/>
      <c r="B188" s="34"/>
      <c r="C188" s="35"/>
      <c r="D188" s="32" t="str">
        <f aca="true">IF(C188="","",C188-TODAY())</f>
        <v/>
      </c>
      <c r="E188" s="32" t="str">
        <f aca="false">IF(C188="","",IF(D188&lt;0,"Scaduto",IF(D188&lt;=60,"Da rinnovare","Ok")))</f>
        <v/>
      </c>
      <c r="F188" s="34"/>
      <c r="G188" s="34"/>
      <c r="H188" s="34"/>
    </row>
    <row r="189" customFormat="false" ht="19.5" hidden="false" customHeight="true" outlineLevel="0" collapsed="false">
      <c r="A189" s="30"/>
      <c r="B189" s="30"/>
      <c r="C189" s="31"/>
      <c r="D189" s="32" t="str">
        <f aca="true">IF(C189="","",C189-TODAY())</f>
        <v/>
      </c>
      <c r="E189" s="32" t="str">
        <f aca="false">IF(C189="","",IF(D189&lt;0,"Scaduto",IF(D189&lt;=60,"Da rinnovare","Ok")))</f>
        <v/>
      </c>
      <c r="F189" s="30"/>
      <c r="G189" s="30"/>
      <c r="H189" s="30"/>
    </row>
    <row r="190" customFormat="false" ht="19.5" hidden="false" customHeight="true" outlineLevel="0" collapsed="false">
      <c r="A190" s="34"/>
      <c r="B190" s="34"/>
      <c r="C190" s="35"/>
      <c r="D190" s="32" t="str">
        <f aca="true">IF(C190="","",C190-TODAY())</f>
        <v/>
      </c>
      <c r="E190" s="32" t="str">
        <f aca="false">IF(C190="","",IF(D190&lt;0,"Scaduto",IF(D190&lt;=60,"Da rinnovare","Ok")))</f>
        <v/>
      </c>
      <c r="F190" s="34"/>
      <c r="G190" s="34"/>
      <c r="H190" s="34"/>
    </row>
    <row r="191" customFormat="false" ht="19.5" hidden="false" customHeight="true" outlineLevel="0" collapsed="false">
      <c r="A191" s="30"/>
      <c r="B191" s="30"/>
      <c r="C191" s="31"/>
      <c r="D191" s="32" t="str">
        <f aca="true">IF(C191="","",C191-TODAY())</f>
        <v/>
      </c>
      <c r="E191" s="32" t="str">
        <f aca="false">IF(C191="","",IF(D191&lt;0,"Scaduto",IF(D191&lt;=60,"Da rinnovare","Ok")))</f>
        <v/>
      </c>
      <c r="F191" s="30"/>
      <c r="G191" s="30"/>
      <c r="H191" s="30"/>
    </row>
    <row r="192" customFormat="false" ht="19.5" hidden="false" customHeight="true" outlineLevel="0" collapsed="false">
      <c r="A192" s="34"/>
      <c r="B192" s="34"/>
      <c r="C192" s="35"/>
      <c r="D192" s="32" t="str">
        <f aca="true">IF(C192="","",C192-TODAY())</f>
        <v/>
      </c>
      <c r="E192" s="32" t="str">
        <f aca="false">IF(C192="","",IF(D192&lt;0,"Scaduto",IF(D192&lt;=60,"Da rinnovare","Ok")))</f>
        <v/>
      </c>
      <c r="F192" s="34"/>
      <c r="G192" s="34"/>
      <c r="H192" s="34"/>
    </row>
    <row r="193" customFormat="false" ht="19.5" hidden="false" customHeight="true" outlineLevel="0" collapsed="false">
      <c r="A193" s="30"/>
      <c r="B193" s="30"/>
      <c r="C193" s="31"/>
      <c r="D193" s="32" t="str">
        <f aca="true">IF(C193="","",C193-TODAY())</f>
        <v/>
      </c>
      <c r="E193" s="32" t="str">
        <f aca="false">IF(C193="","",IF(D193&lt;0,"Scaduto",IF(D193&lt;=60,"Da rinnovare","Ok")))</f>
        <v/>
      </c>
      <c r="F193" s="30"/>
      <c r="G193" s="30"/>
      <c r="H193" s="30"/>
    </row>
    <row r="194" customFormat="false" ht="19.5" hidden="false" customHeight="true" outlineLevel="0" collapsed="false">
      <c r="A194" s="34"/>
      <c r="B194" s="34"/>
      <c r="C194" s="35"/>
      <c r="D194" s="32" t="str">
        <f aca="true">IF(C194="","",C194-TODAY())</f>
        <v/>
      </c>
      <c r="E194" s="32" t="str">
        <f aca="false">IF(C194="","",IF(D194&lt;0,"Scaduto",IF(D194&lt;=60,"Da rinnovare","Ok")))</f>
        <v/>
      </c>
      <c r="F194" s="34"/>
      <c r="G194" s="34"/>
      <c r="H194" s="34"/>
    </row>
    <row r="195" customFormat="false" ht="19.5" hidden="false" customHeight="true" outlineLevel="0" collapsed="false">
      <c r="A195" s="30"/>
      <c r="B195" s="30"/>
      <c r="C195" s="31"/>
      <c r="D195" s="32" t="str">
        <f aca="true">IF(C195="","",C195-TODAY())</f>
        <v/>
      </c>
      <c r="E195" s="32" t="str">
        <f aca="false">IF(C195="","",IF(D195&lt;0,"Scaduto",IF(D195&lt;=60,"Da rinnovare","Ok")))</f>
        <v/>
      </c>
      <c r="F195" s="30"/>
      <c r="G195" s="30"/>
      <c r="H195" s="30"/>
    </row>
    <row r="196" customFormat="false" ht="19.5" hidden="false" customHeight="true" outlineLevel="0" collapsed="false">
      <c r="A196" s="34"/>
      <c r="B196" s="34"/>
      <c r="C196" s="35"/>
      <c r="D196" s="32" t="str">
        <f aca="true">IF(C196="","",C196-TODAY())</f>
        <v/>
      </c>
      <c r="E196" s="32" t="str">
        <f aca="false">IF(C196="","",IF(D196&lt;0,"Scaduto",IF(D196&lt;=60,"Da rinnovare","Ok")))</f>
        <v/>
      </c>
      <c r="F196" s="34"/>
      <c r="G196" s="34"/>
      <c r="H196" s="34"/>
    </row>
    <row r="197" customFormat="false" ht="19.5" hidden="false" customHeight="true" outlineLevel="0" collapsed="false">
      <c r="A197" s="30"/>
      <c r="B197" s="30"/>
      <c r="C197" s="31"/>
      <c r="D197" s="32" t="str">
        <f aca="true">IF(C197="","",C197-TODAY())</f>
        <v/>
      </c>
      <c r="E197" s="32" t="str">
        <f aca="false">IF(C197="","",IF(D197&lt;0,"Scaduto",IF(D197&lt;=60,"Da rinnovare","Ok")))</f>
        <v/>
      </c>
      <c r="F197" s="30"/>
      <c r="G197" s="30"/>
      <c r="H197" s="30"/>
    </row>
    <row r="198" customFormat="false" ht="19.5" hidden="false" customHeight="true" outlineLevel="0" collapsed="false">
      <c r="A198" s="34"/>
      <c r="B198" s="34"/>
      <c r="C198" s="35"/>
      <c r="D198" s="32" t="str">
        <f aca="true">IF(C198="","",C198-TODAY())</f>
        <v/>
      </c>
      <c r="E198" s="32" t="str">
        <f aca="false">IF(C198="","",IF(D198&lt;0,"Scaduto",IF(D198&lt;=60,"Da rinnovare","Ok")))</f>
        <v/>
      </c>
      <c r="F198" s="34"/>
      <c r="G198" s="34"/>
      <c r="H198" s="34"/>
    </row>
    <row r="199" customFormat="false" ht="19.5" hidden="false" customHeight="true" outlineLevel="0" collapsed="false">
      <c r="A199" s="30"/>
      <c r="B199" s="30"/>
      <c r="C199" s="31"/>
      <c r="D199" s="32" t="str">
        <f aca="true">IF(C199="","",C199-TODAY())</f>
        <v/>
      </c>
      <c r="E199" s="32" t="str">
        <f aca="false">IF(C199="","",IF(D199&lt;0,"Scaduto",IF(D199&lt;=60,"Da rinnovare","Ok")))</f>
        <v/>
      </c>
      <c r="F199" s="30"/>
      <c r="G199" s="30"/>
      <c r="H199" s="30"/>
    </row>
    <row r="200" customFormat="false" ht="19.5" hidden="false" customHeight="true" outlineLevel="0" collapsed="false">
      <c r="A200" s="34"/>
      <c r="B200" s="34"/>
      <c r="C200" s="35"/>
      <c r="D200" s="32" t="str">
        <f aca="true">IF(C200="","",C200-TODAY())</f>
        <v/>
      </c>
      <c r="E200" s="32" t="str">
        <f aca="false">IF(C200="","",IF(D200&lt;0,"Scaduto",IF(D200&lt;=60,"Da rinnovare","Ok")))</f>
        <v/>
      </c>
      <c r="F200" s="34"/>
      <c r="G200" s="34"/>
      <c r="H200" s="34"/>
    </row>
    <row r="201" customFormat="false" ht="19.5" hidden="false" customHeight="true" outlineLevel="0" collapsed="false">
      <c r="A201" s="30"/>
      <c r="B201" s="30"/>
      <c r="C201" s="31"/>
      <c r="D201" s="32" t="str">
        <f aca="true">IF(C201="","",C201-TODAY())</f>
        <v/>
      </c>
      <c r="E201" s="32" t="str">
        <f aca="false">IF(C201="","",IF(D201&lt;0,"Scaduto",IF(D201&lt;=60,"Da rinnovare","Ok")))</f>
        <v/>
      </c>
      <c r="F201" s="30"/>
      <c r="G201" s="30"/>
      <c r="H201" s="30"/>
    </row>
    <row r="202" customFormat="false" ht="19.5" hidden="false" customHeight="true" outlineLevel="0" collapsed="false">
      <c r="A202" s="34"/>
      <c r="B202" s="34"/>
      <c r="C202" s="35"/>
      <c r="D202" s="32" t="str">
        <f aca="true">IF(C202="","",C202-TODAY())</f>
        <v/>
      </c>
      <c r="E202" s="32" t="str">
        <f aca="false">IF(C202="","",IF(D202&lt;0,"Scaduto",IF(D202&lt;=60,"Da rinnovare","Ok")))</f>
        <v/>
      </c>
      <c r="F202" s="34"/>
      <c r="G202" s="34"/>
      <c r="H202" s="34"/>
    </row>
    <row r="203" customFormat="false" ht="19.5" hidden="false" customHeight="true" outlineLevel="0" collapsed="false">
      <c r="A203" s="30"/>
      <c r="B203" s="30"/>
      <c r="C203" s="31"/>
      <c r="D203" s="32" t="str">
        <f aca="true">IF(C203="","",C203-TODAY())</f>
        <v/>
      </c>
      <c r="E203" s="32" t="str">
        <f aca="false">IF(C203="","",IF(D203&lt;0,"Scaduto",IF(D203&lt;=60,"Da rinnovare","Ok")))</f>
        <v/>
      </c>
      <c r="F203" s="30"/>
      <c r="G203" s="30"/>
      <c r="H203" s="30"/>
    </row>
    <row r="204" customFormat="false" ht="19.5" hidden="false" customHeight="true" outlineLevel="0" collapsed="false">
      <c r="A204" s="34"/>
      <c r="B204" s="34"/>
      <c r="C204" s="35"/>
      <c r="D204" s="32" t="str">
        <f aca="true">IF(C204="","",C204-TODAY())</f>
        <v/>
      </c>
      <c r="E204" s="32" t="str">
        <f aca="false">IF(C204="","",IF(D204&lt;0,"Scaduto",IF(D204&lt;=60,"Da rinnovare","Ok")))</f>
        <v/>
      </c>
      <c r="F204" s="34"/>
      <c r="G204" s="34"/>
      <c r="H204" s="34"/>
    </row>
    <row r="205" customFormat="false" ht="19.5" hidden="false" customHeight="true" outlineLevel="0" collapsed="false">
      <c r="A205" s="30"/>
      <c r="B205" s="30"/>
      <c r="C205" s="31"/>
      <c r="D205" s="32" t="str">
        <f aca="true">IF(C205="","",C205-TODAY())</f>
        <v/>
      </c>
      <c r="E205" s="32" t="str">
        <f aca="false">IF(C205="","",IF(D205&lt;0,"Scaduto",IF(D205&lt;=60,"Da rinnovare","Ok")))</f>
        <v/>
      </c>
      <c r="F205" s="30"/>
      <c r="G205" s="30"/>
      <c r="H205" s="30"/>
    </row>
    <row r="206" customFormat="false" ht="19.5" hidden="false" customHeight="true" outlineLevel="0" collapsed="false">
      <c r="A206" s="34"/>
      <c r="B206" s="34"/>
      <c r="C206" s="35"/>
      <c r="D206" s="32" t="str">
        <f aca="true">IF(C206="","",C206-TODAY())</f>
        <v/>
      </c>
      <c r="E206" s="32" t="str">
        <f aca="false">IF(C206="","",IF(D206&lt;0,"Scaduto",IF(D206&lt;=60,"Da rinnovare","Ok")))</f>
        <v/>
      </c>
      <c r="F206" s="34"/>
      <c r="G206" s="34"/>
      <c r="H206" s="34"/>
    </row>
    <row r="207" customFormat="false" ht="19.5" hidden="false" customHeight="true" outlineLevel="0" collapsed="false">
      <c r="A207" s="30"/>
      <c r="B207" s="30"/>
      <c r="C207" s="31"/>
      <c r="D207" s="32" t="str">
        <f aca="true">IF(C207="","",C207-TODAY())</f>
        <v/>
      </c>
      <c r="E207" s="32" t="str">
        <f aca="false">IF(C207="","",IF(D207&lt;0,"Scaduto",IF(D207&lt;=60,"Da rinnovare","Ok")))</f>
        <v/>
      </c>
      <c r="F207" s="30"/>
      <c r="G207" s="30"/>
      <c r="H207" s="30"/>
    </row>
    <row r="208" customFormat="false" ht="19.5" hidden="false" customHeight="true" outlineLevel="0" collapsed="false">
      <c r="A208" s="34"/>
      <c r="B208" s="34"/>
      <c r="C208" s="35"/>
      <c r="D208" s="32" t="str">
        <f aca="true">IF(C208="","",C208-TODAY())</f>
        <v/>
      </c>
      <c r="E208" s="32" t="str">
        <f aca="false">IF(C208="","",IF(D208&lt;0,"Scaduto",IF(D208&lt;=60,"Da rinnovare","Ok")))</f>
        <v/>
      </c>
      <c r="F208" s="34"/>
      <c r="G208" s="34"/>
      <c r="H208" s="34"/>
    </row>
    <row r="209" customFormat="false" ht="19.5" hidden="false" customHeight="true" outlineLevel="0" collapsed="false">
      <c r="A209" s="30"/>
      <c r="B209" s="30"/>
      <c r="C209" s="31"/>
      <c r="D209" s="32" t="str">
        <f aca="true">IF(C209="","",C209-TODAY())</f>
        <v/>
      </c>
      <c r="E209" s="32" t="str">
        <f aca="false">IF(C209="","",IF(D209&lt;0,"Scaduto",IF(D209&lt;=60,"Da rinnovare","Ok")))</f>
        <v/>
      </c>
      <c r="F209" s="30"/>
      <c r="G209" s="30"/>
      <c r="H209" s="30"/>
    </row>
    <row r="210" customFormat="false" ht="19.5" hidden="false" customHeight="true" outlineLevel="0" collapsed="false">
      <c r="A210" s="34"/>
      <c r="B210" s="34"/>
      <c r="C210" s="35"/>
      <c r="D210" s="32" t="str">
        <f aca="true">IF(C210="","",C210-TODAY())</f>
        <v/>
      </c>
      <c r="E210" s="32" t="str">
        <f aca="false">IF(C210="","",IF(D210&lt;0,"Scaduto",IF(D210&lt;=60,"Da rinnovare","Ok")))</f>
        <v/>
      </c>
      <c r="F210" s="34"/>
      <c r="G210" s="34"/>
      <c r="H210" s="34"/>
    </row>
    <row r="211" customFormat="false" ht="19.5" hidden="false" customHeight="true" outlineLevel="0" collapsed="false">
      <c r="A211" s="30"/>
      <c r="B211" s="30"/>
      <c r="C211" s="31"/>
      <c r="D211" s="32" t="str">
        <f aca="true">IF(C211="","",C211-TODAY())</f>
        <v/>
      </c>
      <c r="E211" s="32" t="str">
        <f aca="false">IF(C211="","",IF(D211&lt;0,"Scaduto",IF(D211&lt;=60,"Da rinnovare","Ok")))</f>
        <v/>
      </c>
      <c r="F211" s="30"/>
      <c r="G211" s="30"/>
      <c r="H211" s="30"/>
    </row>
    <row r="212" customFormat="false" ht="19.5" hidden="false" customHeight="true" outlineLevel="0" collapsed="false">
      <c r="A212" s="34"/>
      <c r="B212" s="34"/>
      <c r="C212" s="35"/>
      <c r="D212" s="32" t="str">
        <f aca="true">IF(C212="","",C212-TODAY())</f>
        <v/>
      </c>
      <c r="E212" s="32" t="str">
        <f aca="false">IF(C212="","",IF(D212&lt;0,"Scaduto",IF(D212&lt;=60,"Da rinnovare","Ok")))</f>
        <v/>
      </c>
      <c r="F212" s="34"/>
      <c r="G212" s="34"/>
      <c r="H212" s="34"/>
    </row>
    <row r="213" customFormat="false" ht="19.5" hidden="false" customHeight="true" outlineLevel="0" collapsed="false">
      <c r="A213" s="30"/>
      <c r="B213" s="30"/>
      <c r="C213" s="31"/>
      <c r="D213" s="32" t="str">
        <f aca="true">IF(C213="","",C213-TODAY())</f>
        <v/>
      </c>
      <c r="E213" s="32" t="str">
        <f aca="false">IF(C213="","",IF(D213&lt;0,"Scaduto",IF(D213&lt;=60,"Da rinnovare","Ok")))</f>
        <v/>
      </c>
      <c r="F213" s="30"/>
      <c r="G213" s="30"/>
      <c r="H213" s="30"/>
    </row>
    <row r="214" customFormat="false" ht="19.5" hidden="false" customHeight="true" outlineLevel="0" collapsed="false">
      <c r="A214" s="34"/>
      <c r="B214" s="34"/>
      <c r="C214" s="35"/>
      <c r="D214" s="32" t="str">
        <f aca="true">IF(C214="","",C214-TODAY())</f>
        <v/>
      </c>
      <c r="E214" s="32" t="str">
        <f aca="false">IF(C214="","",IF(D214&lt;0,"Scaduto",IF(D214&lt;=60,"Da rinnovare","Ok")))</f>
        <v/>
      </c>
      <c r="F214" s="34"/>
      <c r="G214" s="34"/>
      <c r="H214" s="34"/>
    </row>
    <row r="215" customFormat="false" ht="19.5" hidden="false" customHeight="true" outlineLevel="0" collapsed="false">
      <c r="A215" s="30"/>
      <c r="B215" s="30"/>
      <c r="C215" s="31"/>
      <c r="D215" s="32" t="str">
        <f aca="true">IF(C215="","",C215-TODAY())</f>
        <v/>
      </c>
      <c r="E215" s="32" t="str">
        <f aca="false">IF(C215="","",IF(D215&lt;0,"Scaduto",IF(D215&lt;=60,"Da rinnovare","Ok")))</f>
        <v/>
      </c>
      <c r="F215" s="30"/>
      <c r="G215" s="30"/>
      <c r="H215" s="30"/>
    </row>
    <row r="216" customFormat="false" ht="19.5" hidden="false" customHeight="true" outlineLevel="0" collapsed="false">
      <c r="A216" s="34"/>
      <c r="B216" s="34"/>
      <c r="C216" s="35"/>
      <c r="D216" s="32" t="str">
        <f aca="true">IF(C216="","",C216-TODAY())</f>
        <v/>
      </c>
      <c r="E216" s="32" t="str">
        <f aca="false">IF(C216="","",IF(D216&lt;0,"Scaduto",IF(D216&lt;=60,"Da rinnovare","Ok")))</f>
        <v/>
      </c>
      <c r="F216" s="34"/>
      <c r="G216" s="34"/>
      <c r="H216" s="34"/>
    </row>
    <row r="217" customFormat="false" ht="19.5" hidden="false" customHeight="true" outlineLevel="0" collapsed="false">
      <c r="A217" s="30"/>
      <c r="B217" s="30"/>
      <c r="C217" s="31"/>
      <c r="D217" s="32" t="str">
        <f aca="true">IF(C217="","",C217-TODAY())</f>
        <v/>
      </c>
      <c r="E217" s="32" t="str">
        <f aca="false">IF(C217="","",IF(D217&lt;0,"Scaduto",IF(D217&lt;=60,"Da rinnovare","Ok")))</f>
        <v/>
      </c>
      <c r="F217" s="30"/>
      <c r="G217" s="30"/>
      <c r="H217" s="30"/>
    </row>
    <row r="218" customFormat="false" ht="19.5" hidden="false" customHeight="true" outlineLevel="0" collapsed="false">
      <c r="A218" s="34"/>
      <c r="B218" s="34"/>
      <c r="C218" s="35"/>
      <c r="D218" s="32" t="str">
        <f aca="true">IF(C218="","",C218-TODAY())</f>
        <v/>
      </c>
      <c r="E218" s="32" t="str">
        <f aca="false">IF(C218="","",IF(D218&lt;0,"Scaduto",IF(D218&lt;=60,"Da rinnovare","Ok")))</f>
        <v/>
      </c>
      <c r="F218" s="34"/>
      <c r="G218" s="34"/>
      <c r="H218" s="34"/>
    </row>
    <row r="219" customFormat="false" ht="19.5" hidden="false" customHeight="true" outlineLevel="0" collapsed="false">
      <c r="A219" s="30"/>
      <c r="B219" s="30"/>
      <c r="C219" s="31"/>
      <c r="D219" s="32" t="str">
        <f aca="true">IF(C219="","",C219-TODAY())</f>
        <v/>
      </c>
      <c r="E219" s="32" t="str">
        <f aca="false">IF(C219="","",IF(D219&lt;0,"Scaduto",IF(D219&lt;=60,"Da rinnovare","Ok")))</f>
        <v/>
      </c>
      <c r="F219" s="30"/>
      <c r="G219" s="30"/>
      <c r="H219" s="30"/>
    </row>
    <row r="220" customFormat="false" ht="19.5" hidden="false" customHeight="true" outlineLevel="0" collapsed="false">
      <c r="A220" s="34"/>
      <c r="B220" s="34"/>
      <c r="C220" s="35"/>
      <c r="D220" s="32" t="str">
        <f aca="true">IF(C220="","",C220-TODAY())</f>
        <v/>
      </c>
      <c r="E220" s="32" t="str">
        <f aca="false">IF(C220="","",IF(D220&lt;0,"Scaduto",IF(D220&lt;=60,"Da rinnovare","Ok")))</f>
        <v/>
      </c>
      <c r="F220" s="34"/>
      <c r="G220" s="34"/>
      <c r="H220" s="34"/>
    </row>
    <row r="221" customFormat="false" ht="19.5" hidden="false" customHeight="true" outlineLevel="0" collapsed="false">
      <c r="A221" s="30"/>
      <c r="B221" s="30"/>
      <c r="C221" s="31"/>
      <c r="D221" s="32" t="str">
        <f aca="true">IF(C221="","",C221-TODAY())</f>
        <v/>
      </c>
      <c r="E221" s="32" t="str">
        <f aca="false">IF(C221="","",IF(D221&lt;0,"Scaduto",IF(D221&lt;=60,"Da rinnovare","Ok")))</f>
        <v/>
      </c>
      <c r="F221" s="30"/>
      <c r="G221" s="30"/>
      <c r="H221" s="30"/>
    </row>
    <row r="222" customFormat="false" ht="19.5" hidden="false" customHeight="true" outlineLevel="0" collapsed="false">
      <c r="A222" s="34"/>
      <c r="B222" s="34"/>
      <c r="C222" s="35"/>
      <c r="D222" s="32" t="str">
        <f aca="true">IF(C222="","",C222-TODAY())</f>
        <v/>
      </c>
      <c r="E222" s="32" t="str">
        <f aca="false">IF(C222="","",IF(D222&lt;0,"Scaduto",IF(D222&lt;=60,"Da rinnovare","Ok")))</f>
        <v/>
      </c>
      <c r="F222" s="34"/>
      <c r="G222" s="34"/>
      <c r="H222" s="34"/>
    </row>
    <row r="223" customFormat="false" ht="19.5" hidden="false" customHeight="true" outlineLevel="0" collapsed="false">
      <c r="A223" s="30"/>
      <c r="B223" s="30"/>
      <c r="C223" s="31"/>
      <c r="D223" s="32" t="str">
        <f aca="true">IF(C223="","",C223-TODAY())</f>
        <v/>
      </c>
      <c r="E223" s="32" t="str">
        <f aca="false">IF(C223="","",IF(D223&lt;0,"Scaduto",IF(D223&lt;=60,"Da rinnovare","Ok")))</f>
        <v/>
      </c>
      <c r="F223" s="30"/>
      <c r="G223" s="30"/>
      <c r="H223" s="30"/>
    </row>
    <row r="224" customFormat="false" ht="19.5" hidden="false" customHeight="true" outlineLevel="0" collapsed="false">
      <c r="A224" s="34"/>
      <c r="B224" s="34"/>
      <c r="C224" s="35"/>
      <c r="D224" s="32" t="str">
        <f aca="true">IF(C224="","",C224-TODAY())</f>
        <v/>
      </c>
      <c r="E224" s="32" t="str">
        <f aca="false">IF(C224="","",IF(D224&lt;0,"Scaduto",IF(D224&lt;=60,"Da rinnovare","Ok")))</f>
        <v/>
      </c>
      <c r="F224" s="34"/>
      <c r="G224" s="34"/>
      <c r="H224" s="34"/>
    </row>
    <row r="225" customFormat="false" ht="19.5" hidden="false" customHeight="true" outlineLevel="0" collapsed="false">
      <c r="A225" s="30"/>
      <c r="B225" s="30"/>
      <c r="C225" s="31"/>
      <c r="D225" s="32" t="str">
        <f aca="true">IF(C225="","",C225-TODAY())</f>
        <v/>
      </c>
      <c r="E225" s="32" t="str">
        <f aca="false">IF(C225="","",IF(D225&lt;0,"Scaduto",IF(D225&lt;=60,"Da rinnovare","Ok")))</f>
        <v/>
      </c>
      <c r="F225" s="30"/>
      <c r="G225" s="30"/>
      <c r="H225" s="30"/>
    </row>
    <row r="226" customFormat="false" ht="19.5" hidden="false" customHeight="true" outlineLevel="0" collapsed="false">
      <c r="A226" s="34"/>
      <c r="B226" s="34"/>
      <c r="C226" s="35"/>
      <c r="D226" s="32" t="str">
        <f aca="true">IF(C226="","",C226-TODAY())</f>
        <v/>
      </c>
      <c r="E226" s="32" t="str">
        <f aca="false">IF(C226="","",IF(D226&lt;0,"Scaduto",IF(D226&lt;=60,"Da rinnovare","Ok")))</f>
        <v/>
      </c>
      <c r="F226" s="34"/>
      <c r="G226" s="34"/>
      <c r="H226" s="34"/>
    </row>
    <row r="227" customFormat="false" ht="19.5" hidden="false" customHeight="true" outlineLevel="0" collapsed="false">
      <c r="A227" s="30"/>
      <c r="B227" s="30"/>
      <c r="C227" s="31"/>
      <c r="D227" s="32" t="str">
        <f aca="true">IF(C227="","",C227-TODAY())</f>
        <v/>
      </c>
      <c r="E227" s="32" t="str">
        <f aca="false">IF(C227="","",IF(D227&lt;0,"Scaduto",IF(D227&lt;=60,"Da rinnovare","Ok")))</f>
        <v/>
      </c>
      <c r="F227" s="30"/>
      <c r="G227" s="30"/>
      <c r="H227" s="30"/>
    </row>
    <row r="228" customFormat="false" ht="19.5" hidden="false" customHeight="true" outlineLevel="0" collapsed="false">
      <c r="A228" s="34"/>
      <c r="B228" s="34"/>
      <c r="C228" s="35"/>
      <c r="D228" s="32" t="str">
        <f aca="true">IF(C228="","",C228-TODAY())</f>
        <v/>
      </c>
      <c r="E228" s="32" t="str">
        <f aca="false">IF(C228="","",IF(D228&lt;0,"Scaduto",IF(D228&lt;=60,"Da rinnovare","Ok")))</f>
        <v/>
      </c>
      <c r="F228" s="34"/>
      <c r="G228" s="34"/>
      <c r="H228" s="34"/>
    </row>
    <row r="229" customFormat="false" ht="19.5" hidden="false" customHeight="true" outlineLevel="0" collapsed="false">
      <c r="A229" s="30"/>
      <c r="B229" s="30"/>
      <c r="C229" s="31"/>
      <c r="D229" s="32" t="str">
        <f aca="true">IF(C229="","",C229-TODAY())</f>
        <v/>
      </c>
      <c r="E229" s="32" t="str">
        <f aca="false">IF(C229="","",IF(D229&lt;0,"Scaduto",IF(D229&lt;=60,"Da rinnovare","Ok")))</f>
        <v/>
      </c>
      <c r="F229" s="30"/>
      <c r="G229" s="30"/>
      <c r="H229" s="30"/>
    </row>
    <row r="230" customFormat="false" ht="19.5" hidden="false" customHeight="true" outlineLevel="0" collapsed="false">
      <c r="A230" s="34"/>
      <c r="B230" s="34"/>
      <c r="C230" s="35"/>
      <c r="D230" s="32" t="str">
        <f aca="true">IF(C230="","",C230-TODAY())</f>
        <v/>
      </c>
      <c r="E230" s="32" t="str">
        <f aca="false">IF(C230="","",IF(D230&lt;0,"Scaduto",IF(D230&lt;=60,"Da rinnovare","Ok")))</f>
        <v/>
      </c>
      <c r="F230" s="34"/>
      <c r="G230" s="34"/>
      <c r="H230" s="34"/>
    </row>
    <row r="231" customFormat="false" ht="19.5" hidden="false" customHeight="true" outlineLevel="0" collapsed="false">
      <c r="A231" s="30"/>
      <c r="B231" s="30"/>
      <c r="C231" s="31"/>
      <c r="D231" s="32" t="str">
        <f aca="true">IF(C231="","",C231-TODAY())</f>
        <v/>
      </c>
      <c r="E231" s="32" t="str">
        <f aca="false">IF(C231="","",IF(D231&lt;0,"Scaduto",IF(D231&lt;=60,"Da rinnovare","Ok")))</f>
        <v/>
      </c>
      <c r="F231" s="30"/>
      <c r="G231" s="30"/>
      <c r="H231" s="30"/>
    </row>
    <row r="232" customFormat="false" ht="19.5" hidden="false" customHeight="true" outlineLevel="0" collapsed="false">
      <c r="A232" s="34"/>
      <c r="B232" s="34"/>
      <c r="C232" s="35"/>
      <c r="D232" s="32" t="str">
        <f aca="true">IF(C232="","",C232-TODAY())</f>
        <v/>
      </c>
      <c r="E232" s="32" t="str">
        <f aca="false">IF(C232="","",IF(D232&lt;0,"Scaduto",IF(D232&lt;=60,"Da rinnovare","Ok")))</f>
        <v/>
      </c>
      <c r="F232" s="34"/>
      <c r="G232" s="34"/>
      <c r="H232" s="34"/>
    </row>
    <row r="233" customFormat="false" ht="19.5" hidden="false" customHeight="true" outlineLevel="0" collapsed="false">
      <c r="A233" s="30"/>
      <c r="B233" s="30"/>
      <c r="C233" s="31"/>
      <c r="D233" s="32" t="str">
        <f aca="true">IF(C233="","",C233-TODAY())</f>
        <v/>
      </c>
      <c r="E233" s="32" t="str">
        <f aca="false">IF(C233="","",IF(D233&lt;0,"Scaduto",IF(D233&lt;=60,"Da rinnovare","Ok")))</f>
        <v/>
      </c>
      <c r="F233" s="30"/>
      <c r="G233" s="30"/>
      <c r="H233" s="30"/>
    </row>
    <row r="234" customFormat="false" ht="19.5" hidden="false" customHeight="true" outlineLevel="0" collapsed="false">
      <c r="A234" s="34"/>
      <c r="B234" s="34"/>
      <c r="C234" s="35"/>
      <c r="D234" s="32" t="str">
        <f aca="true">IF(C234="","",C234-TODAY())</f>
        <v/>
      </c>
      <c r="E234" s="32" t="str">
        <f aca="false">IF(C234="","",IF(D234&lt;0,"Scaduto",IF(D234&lt;=60,"Da rinnovare","Ok")))</f>
        <v/>
      </c>
      <c r="F234" s="34"/>
      <c r="G234" s="34"/>
      <c r="H234" s="34"/>
    </row>
    <row r="235" customFormat="false" ht="19.5" hidden="false" customHeight="true" outlineLevel="0" collapsed="false">
      <c r="A235" s="30"/>
      <c r="B235" s="30"/>
      <c r="C235" s="31"/>
      <c r="D235" s="32" t="str">
        <f aca="true">IF(C235="","",C235-TODAY())</f>
        <v/>
      </c>
      <c r="E235" s="32" t="str">
        <f aca="false">IF(C235="","",IF(D235&lt;0,"Scaduto",IF(D235&lt;=60,"Da rinnovare","Ok")))</f>
        <v/>
      </c>
      <c r="F235" s="30"/>
      <c r="G235" s="30"/>
      <c r="H235" s="30"/>
    </row>
    <row r="236" customFormat="false" ht="19.5" hidden="false" customHeight="true" outlineLevel="0" collapsed="false">
      <c r="A236" s="34"/>
      <c r="B236" s="34"/>
      <c r="C236" s="35"/>
      <c r="D236" s="32" t="str">
        <f aca="true">IF(C236="","",C236-TODAY())</f>
        <v/>
      </c>
      <c r="E236" s="32" t="str">
        <f aca="false">IF(C236="","",IF(D236&lt;0,"Scaduto",IF(D236&lt;=60,"Da rinnovare","Ok")))</f>
        <v/>
      </c>
      <c r="F236" s="34"/>
      <c r="G236" s="34"/>
      <c r="H236" s="34"/>
    </row>
    <row r="237" customFormat="false" ht="19.5" hidden="false" customHeight="true" outlineLevel="0" collapsed="false">
      <c r="A237" s="30"/>
      <c r="B237" s="30"/>
      <c r="C237" s="31"/>
      <c r="D237" s="32" t="str">
        <f aca="true">IF(C237="","",C237-TODAY())</f>
        <v/>
      </c>
      <c r="E237" s="32" t="str">
        <f aca="false">IF(C237="","",IF(D237&lt;0,"Scaduto",IF(D237&lt;=60,"Da rinnovare","Ok")))</f>
        <v/>
      </c>
      <c r="F237" s="30"/>
      <c r="G237" s="30"/>
      <c r="H237" s="30"/>
    </row>
    <row r="238" customFormat="false" ht="19.5" hidden="false" customHeight="true" outlineLevel="0" collapsed="false">
      <c r="A238" s="34"/>
      <c r="B238" s="34"/>
      <c r="C238" s="35"/>
      <c r="D238" s="32" t="str">
        <f aca="true">IF(C238="","",C238-TODAY())</f>
        <v/>
      </c>
      <c r="E238" s="32" t="str">
        <f aca="false">IF(C238="","",IF(D238&lt;0,"Scaduto",IF(D238&lt;=60,"Da rinnovare","Ok")))</f>
        <v/>
      </c>
      <c r="F238" s="34"/>
      <c r="G238" s="34"/>
      <c r="H238" s="34"/>
    </row>
    <row r="239" customFormat="false" ht="19.5" hidden="false" customHeight="true" outlineLevel="0" collapsed="false">
      <c r="A239" s="30"/>
      <c r="B239" s="30"/>
      <c r="C239" s="31"/>
      <c r="D239" s="32" t="str">
        <f aca="true">IF(C239="","",C239-TODAY())</f>
        <v/>
      </c>
      <c r="E239" s="32" t="str">
        <f aca="false">IF(C239="","",IF(D239&lt;0,"Scaduto",IF(D239&lt;=60,"Da rinnovare","Ok")))</f>
        <v/>
      </c>
      <c r="F239" s="30"/>
      <c r="G239" s="30"/>
      <c r="H239" s="30"/>
    </row>
    <row r="240" customFormat="false" ht="19.5" hidden="false" customHeight="true" outlineLevel="0" collapsed="false">
      <c r="A240" s="34"/>
      <c r="B240" s="34"/>
      <c r="C240" s="35"/>
      <c r="D240" s="32" t="str">
        <f aca="true">IF(C240="","",C240-TODAY())</f>
        <v/>
      </c>
      <c r="E240" s="32" t="str">
        <f aca="false">IF(C240="","",IF(D240&lt;0,"Scaduto",IF(D240&lt;=60,"Da rinnovare","Ok")))</f>
        <v/>
      </c>
      <c r="F240" s="34"/>
      <c r="G240" s="34"/>
      <c r="H240" s="34"/>
    </row>
    <row r="241" customFormat="false" ht="19.5" hidden="false" customHeight="true" outlineLevel="0" collapsed="false">
      <c r="A241" s="30"/>
      <c r="B241" s="30"/>
      <c r="C241" s="31"/>
      <c r="D241" s="32" t="str">
        <f aca="true">IF(C241="","",C241-TODAY())</f>
        <v/>
      </c>
      <c r="E241" s="32" t="str">
        <f aca="false">IF(C241="","",IF(D241&lt;0,"Scaduto",IF(D241&lt;=60,"Da rinnovare","Ok")))</f>
        <v/>
      </c>
      <c r="F241" s="30"/>
      <c r="G241" s="30"/>
      <c r="H241" s="30"/>
    </row>
    <row r="242" customFormat="false" ht="19.5" hidden="false" customHeight="true" outlineLevel="0" collapsed="false">
      <c r="A242" s="34"/>
      <c r="B242" s="34"/>
      <c r="C242" s="35"/>
      <c r="D242" s="32" t="str">
        <f aca="true">IF(C242="","",C242-TODAY())</f>
        <v/>
      </c>
      <c r="E242" s="32" t="str">
        <f aca="false">IF(C242="","",IF(D242&lt;0,"Scaduto",IF(D242&lt;=60,"Da rinnovare","Ok")))</f>
        <v/>
      </c>
      <c r="F242" s="34"/>
      <c r="G242" s="34"/>
      <c r="H242" s="34"/>
    </row>
    <row r="243" customFormat="false" ht="19.5" hidden="false" customHeight="true" outlineLevel="0" collapsed="false">
      <c r="A243" s="30"/>
      <c r="B243" s="30"/>
      <c r="C243" s="31"/>
      <c r="D243" s="32" t="str">
        <f aca="true">IF(C243="","",C243-TODAY())</f>
        <v/>
      </c>
      <c r="E243" s="32" t="str">
        <f aca="false">IF(C243="","",IF(D243&lt;0,"Scaduto",IF(D243&lt;=60,"Da rinnovare","Ok")))</f>
        <v/>
      </c>
      <c r="F243" s="30"/>
      <c r="G243" s="30"/>
      <c r="H243" s="30"/>
    </row>
    <row r="244" customFormat="false" ht="19.5" hidden="false" customHeight="true" outlineLevel="0" collapsed="false">
      <c r="A244" s="34"/>
      <c r="B244" s="34"/>
      <c r="C244" s="35"/>
      <c r="D244" s="32" t="str">
        <f aca="true">IF(C244="","",C244-TODAY())</f>
        <v/>
      </c>
      <c r="E244" s="32" t="str">
        <f aca="false">IF(C244="","",IF(D244&lt;0,"Scaduto",IF(D244&lt;=60,"Da rinnovare","Ok")))</f>
        <v/>
      </c>
      <c r="F244" s="34"/>
      <c r="G244" s="34"/>
      <c r="H244" s="34"/>
    </row>
    <row r="245" customFormat="false" ht="19.5" hidden="false" customHeight="true" outlineLevel="0" collapsed="false">
      <c r="A245" s="30"/>
      <c r="B245" s="30"/>
      <c r="C245" s="31"/>
      <c r="D245" s="32" t="str">
        <f aca="true">IF(C245="","",C245-TODAY())</f>
        <v/>
      </c>
      <c r="E245" s="32" t="str">
        <f aca="false">IF(C245="","",IF(D245&lt;0,"Scaduto",IF(D245&lt;=60,"Da rinnovare","Ok")))</f>
        <v/>
      </c>
      <c r="F245" s="30"/>
      <c r="G245" s="30"/>
      <c r="H245" s="30"/>
    </row>
    <row r="246" customFormat="false" ht="19.5" hidden="false" customHeight="true" outlineLevel="0" collapsed="false">
      <c r="A246" s="34"/>
      <c r="B246" s="34"/>
      <c r="C246" s="35"/>
      <c r="D246" s="32" t="str">
        <f aca="true">IF(C246="","",C246-TODAY())</f>
        <v/>
      </c>
      <c r="E246" s="32" t="str">
        <f aca="false">IF(C246="","",IF(D246&lt;0,"Scaduto",IF(D246&lt;=60,"Da rinnovare","Ok")))</f>
        <v/>
      </c>
      <c r="F246" s="34"/>
      <c r="G246" s="34"/>
      <c r="H246" s="34"/>
    </row>
    <row r="247" customFormat="false" ht="19.5" hidden="false" customHeight="true" outlineLevel="0" collapsed="false">
      <c r="A247" s="30"/>
      <c r="B247" s="30"/>
      <c r="C247" s="31"/>
      <c r="D247" s="32" t="str">
        <f aca="true">IF(C247="","",C247-TODAY())</f>
        <v/>
      </c>
      <c r="E247" s="32" t="str">
        <f aca="false">IF(C247="","",IF(D247&lt;0,"Scaduto",IF(D247&lt;=60,"Da rinnovare","Ok")))</f>
        <v/>
      </c>
      <c r="F247" s="30"/>
      <c r="G247" s="30"/>
      <c r="H247" s="30"/>
    </row>
    <row r="248" customFormat="false" ht="19.5" hidden="false" customHeight="true" outlineLevel="0" collapsed="false">
      <c r="A248" s="34"/>
      <c r="B248" s="34"/>
      <c r="C248" s="35"/>
      <c r="D248" s="32" t="str">
        <f aca="true">IF(C248="","",C248-TODAY())</f>
        <v/>
      </c>
      <c r="E248" s="32" t="str">
        <f aca="false">IF(C248="","",IF(D248&lt;0,"Scaduto",IF(D248&lt;=60,"Da rinnovare","Ok")))</f>
        <v/>
      </c>
      <c r="F248" s="34"/>
      <c r="G248" s="34"/>
      <c r="H248" s="34"/>
    </row>
    <row r="249" customFormat="false" ht="19.5" hidden="false" customHeight="true" outlineLevel="0" collapsed="false">
      <c r="A249" s="30"/>
      <c r="B249" s="30"/>
      <c r="C249" s="31"/>
      <c r="D249" s="32" t="str">
        <f aca="true">IF(C249="","",C249-TODAY())</f>
        <v/>
      </c>
      <c r="E249" s="32" t="str">
        <f aca="false">IF(C249="","",IF(D249&lt;0,"Scaduto",IF(D249&lt;=60,"Da rinnovare","Ok")))</f>
        <v/>
      </c>
      <c r="F249" s="30"/>
      <c r="G249" s="30"/>
      <c r="H249" s="30"/>
    </row>
    <row r="250" customFormat="false" ht="19.5" hidden="false" customHeight="true" outlineLevel="0" collapsed="false">
      <c r="A250" s="34"/>
      <c r="B250" s="34"/>
      <c r="C250" s="35"/>
      <c r="D250" s="32" t="str">
        <f aca="true">IF(C250="","",C250-TODAY())</f>
        <v/>
      </c>
      <c r="E250" s="32" t="str">
        <f aca="false">IF(C250="","",IF(D250&lt;0,"Scaduto",IF(D250&lt;=60,"Da rinnovare","Ok")))</f>
        <v/>
      </c>
      <c r="F250" s="34"/>
      <c r="G250" s="34"/>
      <c r="H250" s="34"/>
    </row>
    <row r="251" customFormat="false" ht="19.5" hidden="false" customHeight="true" outlineLevel="0" collapsed="false">
      <c r="A251" s="30"/>
      <c r="B251" s="30"/>
      <c r="C251" s="31"/>
      <c r="D251" s="32" t="str">
        <f aca="true">IF(C251="","",C251-TODAY())</f>
        <v/>
      </c>
      <c r="E251" s="32" t="str">
        <f aca="false">IF(C251="","",IF(D251&lt;0,"Scaduto",IF(D251&lt;=60,"Da rinnovare","Ok")))</f>
        <v/>
      </c>
      <c r="F251" s="30"/>
      <c r="G251" s="30"/>
      <c r="H251" s="30"/>
    </row>
    <row r="252" customFormat="false" ht="19.5" hidden="false" customHeight="true" outlineLevel="0" collapsed="false">
      <c r="A252" s="34"/>
      <c r="B252" s="34"/>
      <c r="C252" s="35"/>
      <c r="D252" s="32" t="str">
        <f aca="true">IF(C252="","",C252-TODAY())</f>
        <v/>
      </c>
      <c r="E252" s="32" t="str">
        <f aca="false">IF(C252="","",IF(D252&lt;0,"Scaduto",IF(D252&lt;=60,"Da rinnovare","Ok")))</f>
        <v/>
      </c>
      <c r="F252" s="34"/>
      <c r="G252" s="34"/>
      <c r="H252" s="34"/>
    </row>
    <row r="253" customFormat="false" ht="19.5" hidden="false" customHeight="true" outlineLevel="0" collapsed="false">
      <c r="A253" s="30"/>
      <c r="B253" s="30"/>
      <c r="C253" s="31"/>
      <c r="D253" s="32" t="str">
        <f aca="true">IF(C253="","",C253-TODAY())</f>
        <v/>
      </c>
      <c r="E253" s="32" t="str">
        <f aca="false">IF(C253="","",IF(D253&lt;0,"Scaduto",IF(D253&lt;=60,"Da rinnovare","Ok")))</f>
        <v/>
      </c>
      <c r="F253" s="30"/>
      <c r="G253" s="30"/>
      <c r="H253" s="30"/>
    </row>
    <row r="254" customFormat="false" ht="19.5" hidden="false" customHeight="true" outlineLevel="0" collapsed="false">
      <c r="A254" s="34"/>
      <c r="B254" s="34"/>
      <c r="C254" s="35"/>
      <c r="D254" s="32" t="str">
        <f aca="true">IF(C254="","",C254-TODAY())</f>
        <v/>
      </c>
      <c r="E254" s="32" t="str">
        <f aca="false">IF(C254="","",IF(D254&lt;0,"Scaduto",IF(D254&lt;=60,"Da rinnovare","Ok")))</f>
        <v/>
      </c>
      <c r="F254" s="34"/>
      <c r="G254" s="34"/>
      <c r="H254" s="34"/>
    </row>
    <row r="255" customFormat="false" ht="19.5" hidden="false" customHeight="true" outlineLevel="0" collapsed="false">
      <c r="A255" s="30"/>
      <c r="B255" s="30"/>
      <c r="C255" s="31"/>
      <c r="D255" s="32" t="str">
        <f aca="true">IF(C255="","",C255-TODAY())</f>
        <v/>
      </c>
      <c r="E255" s="32" t="str">
        <f aca="false">IF(C255="","",IF(D255&lt;0,"Scaduto",IF(D255&lt;=60,"Da rinnovare","Ok")))</f>
        <v/>
      </c>
      <c r="F255" s="30"/>
      <c r="G255" s="30"/>
      <c r="H255" s="30"/>
    </row>
    <row r="256" customFormat="false" ht="19.5" hidden="false" customHeight="true" outlineLevel="0" collapsed="false">
      <c r="A256" s="34"/>
      <c r="B256" s="34"/>
      <c r="C256" s="35"/>
      <c r="D256" s="32" t="str">
        <f aca="true">IF(C256="","",C256-TODAY())</f>
        <v/>
      </c>
      <c r="E256" s="32" t="str">
        <f aca="false">IF(C256="","",IF(D256&lt;0,"Scaduto",IF(D256&lt;=60,"Da rinnovare","Ok")))</f>
        <v/>
      </c>
      <c r="F256" s="34"/>
      <c r="G256" s="34"/>
      <c r="H256" s="34"/>
    </row>
    <row r="257" customFormat="false" ht="19.5" hidden="false" customHeight="true" outlineLevel="0" collapsed="false">
      <c r="A257" s="30"/>
      <c r="B257" s="30"/>
      <c r="C257" s="31"/>
      <c r="D257" s="32" t="str">
        <f aca="true">IF(C257="","",C257-TODAY())</f>
        <v/>
      </c>
      <c r="E257" s="32" t="str">
        <f aca="false">IF(C257="","",IF(D257&lt;0,"Scaduto",IF(D257&lt;=60,"Da rinnovare","Ok")))</f>
        <v/>
      </c>
      <c r="F257" s="30"/>
      <c r="G257" s="30"/>
      <c r="H257" s="30"/>
    </row>
    <row r="258" customFormat="false" ht="19.5" hidden="false" customHeight="true" outlineLevel="0" collapsed="false">
      <c r="A258" s="34"/>
      <c r="B258" s="34"/>
      <c r="C258" s="35"/>
      <c r="D258" s="32" t="str">
        <f aca="true">IF(C258="","",C258-TODAY())</f>
        <v/>
      </c>
      <c r="E258" s="32" t="str">
        <f aca="false">IF(C258="","",IF(D258&lt;0,"Scaduto",IF(D258&lt;=60,"Da rinnovare","Ok")))</f>
        <v/>
      </c>
      <c r="F258" s="34"/>
      <c r="G258" s="34"/>
      <c r="H258" s="34"/>
    </row>
    <row r="259" customFormat="false" ht="19.5" hidden="false" customHeight="true" outlineLevel="0" collapsed="false">
      <c r="A259" s="30"/>
      <c r="B259" s="30"/>
      <c r="C259" s="31"/>
      <c r="D259" s="32" t="str">
        <f aca="true">IF(C259="","",C259-TODAY())</f>
        <v/>
      </c>
      <c r="E259" s="32" t="str">
        <f aca="false">IF(C259="","",IF(D259&lt;0,"Scaduto",IF(D259&lt;=60,"Da rinnovare","Ok")))</f>
        <v/>
      </c>
      <c r="F259" s="30"/>
      <c r="G259" s="30"/>
      <c r="H259" s="30"/>
    </row>
    <row r="260" customFormat="false" ht="19.5" hidden="false" customHeight="true" outlineLevel="0" collapsed="false">
      <c r="A260" s="34"/>
      <c r="B260" s="34"/>
      <c r="C260" s="35"/>
      <c r="D260" s="32" t="str">
        <f aca="true">IF(C260="","",C260-TODAY())</f>
        <v/>
      </c>
      <c r="E260" s="32" t="str">
        <f aca="false">IF(C260="","",IF(D260&lt;0,"Scaduto",IF(D260&lt;=60,"Da rinnovare","Ok")))</f>
        <v/>
      </c>
      <c r="F260" s="34"/>
      <c r="G260" s="34"/>
      <c r="H260" s="34"/>
    </row>
    <row r="261" customFormat="false" ht="19.5" hidden="false" customHeight="true" outlineLevel="0" collapsed="false">
      <c r="A261" s="30"/>
      <c r="B261" s="30"/>
      <c r="C261" s="31"/>
      <c r="D261" s="32" t="str">
        <f aca="true">IF(C261="","",C261-TODAY())</f>
        <v/>
      </c>
      <c r="E261" s="32" t="str">
        <f aca="false">IF(C261="","",IF(D261&lt;0,"Scaduto",IF(D261&lt;=60,"Da rinnovare","Ok")))</f>
        <v/>
      </c>
      <c r="F261" s="30"/>
      <c r="G261" s="30"/>
      <c r="H261" s="30"/>
    </row>
    <row r="262" customFormat="false" ht="19.5" hidden="false" customHeight="true" outlineLevel="0" collapsed="false">
      <c r="A262" s="34"/>
      <c r="B262" s="34"/>
      <c r="C262" s="35"/>
      <c r="D262" s="32" t="str">
        <f aca="true">IF(C262="","",C262-TODAY())</f>
        <v/>
      </c>
      <c r="E262" s="32" t="str">
        <f aca="false">IF(C262="","",IF(D262&lt;0,"Scaduto",IF(D262&lt;=60,"Da rinnovare","Ok")))</f>
        <v/>
      </c>
      <c r="F262" s="34"/>
      <c r="G262" s="34"/>
      <c r="H262" s="34"/>
    </row>
    <row r="263" customFormat="false" ht="19.5" hidden="false" customHeight="true" outlineLevel="0" collapsed="false">
      <c r="A263" s="30"/>
      <c r="B263" s="30"/>
      <c r="C263" s="31"/>
      <c r="D263" s="32" t="str">
        <f aca="true">IF(C263="","",C263-TODAY())</f>
        <v/>
      </c>
      <c r="E263" s="32" t="str">
        <f aca="false">IF(C263="","",IF(D263&lt;0,"Scaduto",IF(D263&lt;=60,"Da rinnovare","Ok")))</f>
        <v/>
      </c>
      <c r="F263" s="30"/>
      <c r="G263" s="30"/>
      <c r="H263" s="30"/>
    </row>
    <row r="264" customFormat="false" ht="19.5" hidden="false" customHeight="true" outlineLevel="0" collapsed="false">
      <c r="A264" s="34"/>
      <c r="B264" s="34"/>
      <c r="C264" s="35"/>
      <c r="D264" s="32" t="str">
        <f aca="true">IF(C264="","",C264-TODAY())</f>
        <v/>
      </c>
      <c r="E264" s="32" t="str">
        <f aca="false">IF(C264="","",IF(D264&lt;0,"Scaduto",IF(D264&lt;=60,"Da rinnovare","Ok")))</f>
        <v/>
      </c>
      <c r="F264" s="34"/>
      <c r="G264" s="34"/>
      <c r="H264" s="34"/>
    </row>
    <row r="265" customFormat="false" ht="19.5" hidden="false" customHeight="true" outlineLevel="0" collapsed="false">
      <c r="A265" s="30"/>
      <c r="B265" s="30"/>
      <c r="C265" s="31"/>
      <c r="D265" s="32" t="str">
        <f aca="true">IF(C265="","",C265-TODAY())</f>
        <v/>
      </c>
      <c r="E265" s="32" t="str">
        <f aca="false">IF(C265="","",IF(D265&lt;0,"Scaduto",IF(D265&lt;=60,"Da rinnovare","Ok")))</f>
        <v/>
      </c>
      <c r="F265" s="30"/>
      <c r="G265" s="30"/>
      <c r="H265" s="30"/>
    </row>
    <row r="266" customFormat="false" ht="19.5" hidden="false" customHeight="true" outlineLevel="0" collapsed="false">
      <c r="A266" s="34"/>
      <c r="B266" s="34"/>
      <c r="C266" s="35"/>
      <c r="D266" s="32" t="str">
        <f aca="true">IF(C266="","",C266-TODAY())</f>
        <v/>
      </c>
      <c r="E266" s="32" t="str">
        <f aca="false">IF(C266="","",IF(D266&lt;0,"Scaduto",IF(D266&lt;=60,"Da rinnovare","Ok")))</f>
        <v/>
      </c>
      <c r="F266" s="34"/>
      <c r="G266" s="34"/>
      <c r="H266" s="34"/>
    </row>
    <row r="267" customFormat="false" ht="19.5" hidden="false" customHeight="true" outlineLevel="0" collapsed="false">
      <c r="A267" s="30"/>
      <c r="B267" s="30"/>
      <c r="C267" s="31"/>
      <c r="D267" s="32" t="str">
        <f aca="true">IF(C267="","",C267-TODAY())</f>
        <v/>
      </c>
      <c r="E267" s="32" t="str">
        <f aca="false">IF(C267="","",IF(D267&lt;0,"Scaduto",IF(D267&lt;=60,"Da rinnovare","Ok")))</f>
        <v/>
      </c>
      <c r="F267" s="30"/>
      <c r="G267" s="30"/>
      <c r="H267" s="30"/>
    </row>
    <row r="268" customFormat="false" ht="19.5" hidden="false" customHeight="true" outlineLevel="0" collapsed="false">
      <c r="A268" s="34"/>
      <c r="B268" s="34"/>
      <c r="C268" s="35"/>
      <c r="D268" s="32" t="str">
        <f aca="true">IF(C268="","",C268-TODAY())</f>
        <v/>
      </c>
      <c r="E268" s="32" t="str">
        <f aca="false">IF(C268="","",IF(D268&lt;0,"Scaduto",IF(D268&lt;=60,"Da rinnovare","Ok")))</f>
        <v/>
      </c>
      <c r="F268" s="34"/>
      <c r="G268" s="34"/>
      <c r="H268" s="34"/>
    </row>
    <row r="269" customFormat="false" ht="19.5" hidden="false" customHeight="true" outlineLevel="0" collapsed="false">
      <c r="A269" s="30"/>
      <c r="B269" s="30"/>
      <c r="C269" s="31"/>
      <c r="D269" s="32" t="str">
        <f aca="true">IF(C269="","",C269-TODAY())</f>
        <v/>
      </c>
      <c r="E269" s="32" t="str">
        <f aca="false">IF(C269="","",IF(D269&lt;0,"Scaduto",IF(D269&lt;=60,"Da rinnovare","Ok")))</f>
        <v/>
      </c>
      <c r="F269" s="30"/>
      <c r="G269" s="30"/>
      <c r="H269" s="30"/>
    </row>
    <row r="270" customFormat="false" ht="19.5" hidden="false" customHeight="true" outlineLevel="0" collapsed="false">
      <c r="A270" s="34"/>
      <c r="B270" s="34"/>
      <c r="C270" s="35"/>
      <c r="D270" s="32" t="str">
        <f aca="true">IF(C270="","",C270-TODAY())</f>
        <v/>
      </c>
      <c r="E270" s="32" t="str">
        <f aca="false">IF(C270="","",IF(D270&lt;0,"Scaduto",IF(D270&lt;=60,"Da rinnovare","Ok")))</f>
        <v/>
      </c>
      <c r="F270" s="34"/>
      <c r="G270" s="34"/>
      <c r="H270" s="34"/>
    </row>
    <row r="271" customFormat="false" ht="19.5" hidden="false" customHeight="true" outlineLevel="0" collapsed="false">
      <c r="A271" s="30"/>
      <c r="B271" s="30"/>
      <c r="C271" s="31"/>
      <c r="D271" s="32" t="str">
        <f aca="true">IF(C271="","",C271-TODAY())</f>
        <v/>
      </c>
      <c r="E271" s="32" t="str">
        <f aca="false">IF(C271="","",IF(D271&lt;0,"Scaduto",IF(D271&lt;=60,"Da rinnovare","Ok")))</f>
        <v/>
      </c>
      <c r="F271" s="30"/>
      <c r="G271" s="30"/>
      <c r="H271" s="30"/>
    </row>
    <row r="272" customFormat="false" ht="19.5" hidden="false" customHeight="true" outlineLevel="0" collapsed="false">
      <c r="A272" s="34"/>
      <c r="B272" s="34"/>
      <c r="C272" s="35"/>
      <c r="D272" s="32" t="str">
        <f aca="true">IF(C272="","",C272-TODAY())</f>
        <v/>
      </c>
      <c r="E272" s="32" t="str">
        <f aca="false">IF(C272="","",IF(D272&lt;0,"Scaduto",IF(D272&lt;=60,"Da rinnovare","Ok")))</f>
        <v/>
      </c>
      <c r="F272" s="34"/>
      <c r="G272" s="34"/>
      <c r="H272" s="34"/>
    </row>
    <row r="273" customFormat="false" ht="19.5" hidden="false" customHeight="true" outlineLevel="0" collapsed="false">
      <c r="A273" s="30"/>
      <c r="B273" s="30"/>
      <c r="C273" s="31"/>
      <c r="D273" s="32" t="str">
        <f aca="true">IF(C273="","",C273-TODAY())</f>
        <v/>
      </c>
      <c r="E273" s="32" t="str">
        <f aca="false">IF(C273="","",IF(D273&lt;0,"Scaduto",IF(D273&lt;=60,"Da rinnovare","Ok")))</f>
        <v/>
      </c>
      <c r="F273" s="30"/>
      <c r="G273" s="30"/>
      <c r="H273" s="30"/>
    </row>
    <row r="274" customFormat="false" ht="19.5" hidden="false" customHeight="true" outlineLevel="0" collapsed="false">
      <c r="A274" s="34"/>
      <c r="B274" s="34"/>
      <c r="C274" s="35"/>
      <c r="D274" s="32" t="str">
        <f aca="true">IF(C274="","",C274-TODAY())</f>
        <v/>
      </c>
      <c r="E274" s="32" t="str">
        <f aca="false">IF(C274="","",IF(D274&lt;0,"Scaduto",IF(D274&lt;=60,"Da rinnovare","Ok")))</f>
        <v/>
      </c>
      <c r="F274" s="34"/>
      <c r="G274" s="34"/>
      <c r="H274" s="34"/>
    </row>
    <row r="275" customFormat="false" ht="19.5" hidden="false" customHeight="true" outlineLevel="0" collapsed="false">
      <c r="A275" s="30"/>
      <c r="B275" s="30"/>
      <c r="C275" s="31"/>
      <c r="D275" s="32" t="str">
        <f aca="true">IF(C275="","",C275-TODAY())</f>
        <v/>
      </c>
      <c r="E275" s="32" t="str">
        <f aca="false">IF(C275="","",IF(D275&lt;0,"Scaduto",IF(D275&lt;=60,"Da rinnovare","Ok")))</f>
        <v/>
      </c>
      <c r="F275" s="30"/>
      <c r="G275" s="30"/>
      <c r="H275" s="30"/>
    </row>
    <row r="276" customFormat="false" ht="19.5" hidden="false" customHeight="true" outlineLevel="0" collapsed="false">
      <c r="A276" s="34"/>
      <c r="B276" s="34"/>
      <c r="C276" s="35"/>
      <c r="D276" s="32" t="str">
        <f aca="true">IF(C276="","",C276-TODAY())</f>
        <v/>
      </c>
      <c r="E276" s="32" t="str">
        <f aca="false">IF(C276="","",IF(D276&lt;0,"Scaduto",IF(D276&lt;=60,"Da rinnovare","Ok")))</f>
        <v/>
      </c>
      <c r="F276" s="34"/>
      <c r="G276" s="34"/>
      <c r="H276" s="34"/>
    </row>
    <row r="277" customFormat="false" ht="19.5" hidden="false" customHeight="true" outlineLevel="0" collapsed="false">
      <c r="A277" s="30"/>
      <c r="B277" s="30"/>
      <c r="C277" s="31"/>
      <c r="D277" s="32" t="str">
        <f aca="true">IF(C277="","",C277-TODAY())</f>
        <v/>
      </c>
      <c r="E277" s="32" t="str">
        <f aca="false">IF(C277="","",IF(D277&lt;0,"Scaduto",IF(D277&lt;=60,"Da rinnovare","Ok")))</f>
        <v/>
      </c>
      <c r="F277" s="30"/>
      <c r="G277" s="30"/>
      <c r="H277" s="30"/>
    </row>
    <row r="278" customFormat="false" ht="19.5" hidden="false" customHeight="true" outlineLevel="0" collapsed="false">
      <c r="A278" s="34"/>
      <c r="B278" s="34"/>
      <c r="C278" s="35"/>
      <c r="D278" s="32" t="str">
        <f aca="true">IF(C278="","",C278-TODAY())</f>
        <v/>
      </c>
      <c r="E278" s="32" t="str">
        <f aca="false">IF(C278="","",IF(D278&lt;0,"Scaduto",IF(D278&lt;=60,"Da rinnovare","Ok")))</f>
        <v/>
      </c>
      <c r="F278" s="34"/>
      <c r="G278" s="34"/>
      <c r="H278" s="34"/>
    </row>
    <row r="279" customFormat="false" ht="19.5" hidden="false" customHeight="true" outlineLevel="0" collapsed="false">
      <c r="A279" s="30"/>
      <c r="B279" s="30"/>
      <c r="C279" s="31"/>
      <c r="D279" s="32" t="str">
        <f aca="true">IF(C279="","",C279-TODAY())</f>
        <v/>
      </c>
      <c r="E279" s="32" t="str">
        <f aca="false">IF(C279="","",IF(D279&lt;0,"Scaduto",IF(D279&lt;=60,"Da rinnovare","Ok")))</f>
        <v/>
      </c>
      <c r="F279" s="30"/>
      <c r="G279" s="30"/>
      <c r="H279" s="30"/>
    </row>
    <row r="280" customFormat="false" ht="19.5" hidden="false" customHeight="true" outlineLevel="0" collapsed="false">
      <c r="A280" s="34"/>
      <c r="B280" s="34"/>
      <c r="C280" s="35"/>
      <c r="D280" s="32" t="str">
        <f aca="true">IF(C280="","",C280-TODAY())</f>
        <v/>
      </c>
      <c r="E280" s="32" t="str">
        <f aca="false">IF(C280="","",IF(D280&lt;0,"Scaduto",IF(D280&lt;=60,"Da rinnovare","Ok")))</f>
        <v/>
      </c>
      <c r="F280" s="34"/>
      <c r="G280" s="34"/>
      <c r="H280" s="34"/>
    </row>
    <row r="281" customFormat="false" ht="19.5" hidden="false" customHeight="true" outlineLevel="0" collapsed="false">
      <c r="A281" s="30"/>
      <c r="B281" s="30"/>
      <c r="C281" s="31"/>
      <c r="D281" s="32" t="str">
        <f aca="true">IF(C281="","",C281-TODAY())</f>
        <v/>
      </c>
      <c r="E281" s="32" t="str">
        <f aca="false">IF(C281="","",IF(D281&lt;0,"Scaduto",IF(D281&lt;=60,"Da rinnovare","Ok")))</f>
        <v/>
      </c>
      <c r="F281" s="30"/>
      <c r="G281" s="30"/>
      <c r="H281" s="30"/>
    </row>
    <row r="282" customFormat="false" ht="19.5" hidden="false" customHeight="true" outlineLevel="0" collapsed="false">
      <c r="A282" s="34"/>
      <c r="B282" s="34"/>
      <c r="C282" s="35"/>
      <c r="D282" s="32" t="str">
        <f aca="true">IF(C282="","",C282-TODAY())</f>
        <v/>
      </c>
      <c r="E282" s="32" t="str">
        <f aca="false">IF(C282="","",IF(D282&lt;0,"Scaduto",IF(D282&lt;=60,"Da rinnovare","Ok")))</f>
        <v/>
      </c>
      <c r="F282" s="34"/>
      <c r="G282" s="34"/>
      <c r="H282" s="34"/>
    </row>
    <row r="283" customFormat="false" ht="19.5" hidden="false" customHeight="true" outlineLevel="0" collapsed="false">
      <c r="A283" s="30"/>
      <c r="B283" s="30"/>
      <c r="C283" s="31"/>
      <c r="D283" s="32" t="str">
        <f aca="true">IF(C283="","",C283-TODAY())</f>
        <v/>
      </c>
      <c r="E283" s="32" t="str">
        <f aca="false">IF(C283="","",IF(D283&lt;0,"Scaduto",IF(D283&lt;=60,"Da rinnovare","Ok")))</f>
        <v/>
      </c>
      <c r="F283" s="30"/>
      <c r="G283" s="30"/>
      <c r="H283" s="30"/>
    </row>
    <row r="284" customFormat="false" ht="19.5" hidden="false" customHeight="true" outlineLevel="0" collapsed="false">
      <c r="A284" s="34"/>
      <c r="B284" s="34"/>
      <c r="C284" s="35"/>
      <c r="D284" s="32" t="str">
        <f aca="true">IF(C284="","",C284-TODAY())</f>
        <v/>
      </c>
      <c r="E284" s="32" t="str">
        <f aca="false">IF(C284="","",IF(D284&lt;0,"Scaduto",IF(D284&lt;=60,"Da rinnovare","Ok")))</f>
        <v/>
      </c>
      <c r="F284" s="34"/>
      <c r="G284" s="34"/>
      <c r="H284" s="34"/>
    </row>
    <row r="285" customFormat="false" ht="19.5" hidden="false" customHeight="true" outlineLevel="0" collapsed="false">
      <c r="A285" s="30"/>
      <c r="B285" s="30"/>
      <c r="C285" s="31"/>
      <c r="D285" s="32" t="str">
        <f aca="true">IF(C285="","",C285-TODAY())</f>
        <v/>
      </c>
      <c r="E285" s="32" t="str">
        <f aca="false">IF(C285="","",IF(D285&lt;0,"Scaduto",IF(D285&lt;=60,"Da rinnovare","Ok")))</f>
        <v/>
      </c>
      <c r="F285" s="30"/>
      <c r="G285" s="30"/>
      <c r="H285" s="30"/>
    </row>
    <row r="286" customFormat="false" ht="19.5" hidden="false" customHeight="true" outlineLevel="0" collapsed="false">
      <c r="A286" s="34"/>
      <c r="B286" s="34"/>
      <c r="C286" s="35"/>
      <c r="D286" s="32" t="str">
        <f aca="true">IF(C286="","",C286-TODAY())</f>
        <v/>
      </c>
      <c r="E286" s="32" t="str">
        <f aca="false">IF(C286="","",IF(D286&lt;0,"Scaduto",IF(D286&lt;=60,"Da rinnovare","Ok")))</f>
        <v/>
      </c>
      <c r="F286" s="34"/>
      <c r="G286" s="34"/>
      <c r="H286" s="34"/>
    </row>
    <row r="287" customFormat="false" ht="19.5" hidden="false" customHeight="true" outlineLevel="0" collapsed="false">
      <c r="A287" s="30"/>
      <c r="B287" s="30"/>
      <c r="C287" s="31"/>
      <c r="D287" s="32" t="str">
        <f aca="true">IF(C287="","",C287-TODAY())</f>
        <v/>
      </c>
      <c r="E287" s="32" t="str">
        <f aca="false">IF(C287="","",IF(D287&lt;0,"Scaduto",IF(D287&lt;=60,"Da rinnovare","Ok")))</f>
        <v/>
      </c>
      <c r="F287" s="30"/>
      <c r="G287" s="30"/>
      <c r="H287" s="30"/>
    </row>
    <row r="288" customFormat="false" ht="19.5" hidden="false" customHeight="true" outlineLevel="0" collapsed="false">
      <c r="A288" s="34"/>
      <c r="B288" s="34"/>
      <c r="C288" s="35"/>
      <c r="D288" s="32" t="str">
        <f aca="true">IF(C288="","",C288-TODAY())</f>
        <v/>
      </c>
      <c r="E288" s="32" t="str">
        <f aca="false">IF(C288="","",IF(D288&lt;0,"Scaduto",IF(D288&lt;=60,"Da rinnovare","Ok")))</f>
        <v/>
      </c>
      <c r="F288" s="34"/>
      <c r="G288" s="34"/>
      <c r="H288" s="34"/>
    </row>
    <row r="289" customFormat="false" ht="19.5" hidden="false" customHeight="true" outlineLevel="0" collapsed="false">
      <c r="A289" s="30"/>
      <c r="B289" s="30"/>
      <c r="C289" s="31"/>
      <c r="D289" s="32" t="str">
        <f aca="true">IF(C289="","",C289-TODAY())</f>
        <v/>
      </c>
      <c r="E289" s="32" t="str">
        <f aca="false">IF(C289="","",IF(D289&lt;0,"Scaduto",IF(D289&lt;=60,"Da rinnovare","Ok")))</f>
        <v/>
      </c>
      <c r="F289" s="30"/>
      <c r="G289" s="30"/>
      <c r="H289" s="30"/>
    </row>
    <row r="290" customFormat="false" ht="19.5" hidden="false" customHeight="true" outlineLevel="0" collapsed="false">
      <c r="A290" s="34"/>
      <c r="B290" s="34"/>
      <c r="C290" s="35"/>
      <c r="D290" s="32" t="str">
        <f aca="true">IF(C290="","",C290-TODAY())</f>
        <v/>
      </c>
      <c r="E290" s="32" t="str">
        <f aca="false">IF(C290="","",IF(D290&lt;0,"Scaduto",IF(D290&lt;=60,"Da rinnovare","Ok")))</f>
        <v/>
      </c>
      <c r="F290" s="34"/>
      <c r="G290" s="34"/>
      <c r="H290" s="34"/>
    </row>
    <row r="291" customFormat="false" ht="19.5" hidden="false" customHeight="true" outlineLevel="0" collapsed="false">
      <c r="A291" s="30"/>
      <c r="B291" s="30"/>
      <c r="C291" s="31"/>
      <c r="D291" s="32" t="str">
        <f aca="true">IF(C291="","",C291-TODAY())</f>
        <v/>
      </c>
      <c r="E291" s="32" t="str">
        <f aca="false">IF(C291="","",IF(D291&lt;0,"Scaduto",IF(D291&lt;=60,"Da rinnovare","Ok")))</f>
        <v/>
      </c>
      <c r="F291" s="30"/>
      <c r="G291" s="30"/>
      <c r="H291" s="30"/>
    </row>
    <row r="292" customFormat="false" ht="19.5" hidden="false" customHeight="true" outlineLevel="0" collapsed="false">
      <c r="A292" s="34"/>
      <c r="B292" s="34"/>
      <c r="C292" s="35"/>
      <c r="D292" s="32" t="str">
        <f aca="true">IF(C292="","",C292-TODAY())</f>
        <v/>
      </c>
      <c r="E292" s="32" t="str">
        <f aca="false">IF(C292="","",IF(D292&lt;0,"Scaduto",IF(D292&lt;=60,"Da rinnovare","Ok")))</f>
        <v/>
      </c>
      <c r="F292" s="34"/>
      <c r="G292" s="34"/>
      <c r="H292" s="34"/>
    </row>
    <row r="293" customFormat="false" ht="19.5" hidden="false" customHeight="true" outlineLevel="0" collapsed="false">
      <c r="A293" s="30"/>
      <c r="B293" s="30"/>
      <c r="C293" s="31"/>
      <c r="D293" s="32" t="str">
        <f aca="true">IF(C293="","",C293-TODAY())</f>
        <v/>
      </c>
      <c r="E293" s="32" t="str">
        <f aca="false">IF(C293="","",IF(D293&lt;0,"Scaduto",IF(D293&lt;=60,"Da rinnovare","Ok")))</f>
        <v/>
      </c>
      <c r="F293" s="30"/>
      <c r="G293" s="30"/>
      <c r="H293" s="30"/>
    </row>
    <row r="294" customFormat="false" ht="19.5" hidden="false" customHeight="true" outlineLevel="0" collapsed="false">
      <c r="A294" s="34"/>
      <c r="B294" s="34"/>
      <c r="C294" s="35"/>
      <c r="D294" s="32" t="str">
        <f aca="true">IF(C294="","",C294-TODAY())</f>
        <v/>
      </c>
      <c r="E294" s="32" t="str">
        <f aca="false">IF(C294="","",IF(D294&lt;0,"Scaduto",IF(D294&lt;=60,"Da rinnovare","Ok")))</f>
        <v/>
      </c>
      <c r="F294" s="34"/>
      <c r="G294" s="34"/>
      <c r="H294" s="34"/>
    </row>
    <row r="295" customFormat="false" ht="19.5" hidden="false" customHeight="true" outlineLevel="0" collapsed="false">
      <c r="A295" s="30"/>
      <c r="B295" s="30"/>
      <c r="C295" s="31"/>
      <c r="D295" s="32" t="str">
        <f aca="true">IF(C295="","",C295-TODAY())</f>
        <v/>
      </c>
      <c r="E295" s="32" t="str">
        <f aca="false">IF(C295="","",IF(D295&lt;0,"Scaduto",IF(D295&lt;=60,"Da rinnovare","Ok")))</f>
        <v/>
      </c>
      <c r="F295" s="30"/>
      <c r="G295" s="30"/>
      <c r="H295" s="30"/>
    </row>
    <row r="296" customFormat="false" ht="19.5" hidden="false" customHeight="true" outlineLevel="0" collapsed="false">
      <c r="A296" s="34"/>
      <c r="B296" s="34"/>
      <c r="C296" s="35"/>
      <c r="D296" s="32" t="str">
        <f aca="true">IF(C296="","",C296-TODAY())</f>
        <v/>
      </c>
      <c r="E296" s="32" t="str">
        <f aca="false">IF(C296="","",IF(D296&lt;0,"Scaduto",IF(D296&lt;=60,"Da rinnovare","Ok")))</f>
        <v/>
      </c>
      <c r="F296" s="34"/>
      <c r="G296" s="34"/>
      <c r="H296" s="34"/>
    </row>
    <row r="297" customFormat="false" ht="19.5" hidden="false" customHeight="true" outlineLevel="0" collapsed="false">
      <c r="A297" s="30"/>
      <c r="B297" s="30"/>
      <c r="C297" s="31"/>
      <c r="D297" s="32" t="str">
        <f aca="true">IF(C297="","",C297-TODAY())</f>
        <v/>
      </c>
      <c r="E297" s="32" t="str">
        <f aca="false">IF(C297="","",IF(D297&lt;0,"Scaduto",IF(D297&lt;=60,"Da rinnovare","Ok")))</f>
        <v/>
      </c>
      <c r="F297" s="30"/>
      <c r="G297" s="30"/>
      <c r="H297" s="30"/>
    </row>
    <row r="298" customFormat="false" ht="19.5" hidden="false" customHeight="true" outlineLevel="0" collapsed="false">
      <c r="A298" s="34"/>
      <c r="B298" s="34"/>
      <c r="C298" s="35"/>
      <c r="D298" s="32" t="str">
        <f aca="true">IF(C298="","",C298-TODAY())</f>
        <v/>
      </c>
      <c r="E298" s="32" t="str">
        <f aca="false">IF(C298="","",IF(D298&lt;0,"Scaduto",IF(D298&lt;=60,"Da rinnovare","Ok")))</f>
        <v/>
      </c>
      <c r="F298" s="34"/>
      <c r="G298" s="34"/>
      <c r="H298" s="34"/>
    </row>
    <row r="299" customFormat="false" ht="19.5" hidden="false" customHeight="true" outlineLevel="0" collapsed="false">
      <c r="A299" s="30"/>
      <c r="B299" s="30"/>
      <c r="C299" s="31"/>
      <c r="D299" s="32" t="str">
        <f aca="true">IF(C299="","",C299-TODAY())</f>
        <v/>
      </c>
      <c r="E299" s="32" t="str">
        <f aca="false">IF(C299="","",IF(D299&lt;0,"Scaduto",IF(D299&lt;=60,"Da rinnovare","Ok")))</f>
        <v/>
      </c>
      <c r="F299" s="30"/>
      <c r="G299" s="30"/>
      <c r="H299" s="30"/>
    </row>
    <row r="300" customFormat="false" ht="19.5" hidden="false" customHeight="true" outlineLevel="0" collapsed="false">
      <c r="A300" s="34"/>
      <c r="B300" s="34"/>
      <c r="C300" s="35"/>
      <c r="D300" s="32" t="str">
        <f aca="true">IF(C300="","",C300-TODAY())</f>
        <v/>
      </c>
      <c r="E300" s="32" t="str">
        <f aca="false">IF(C300="","",IF(D300&lt;0,"Scaduto",IF(D300&lt;=60,"Da rinnovare","Ok")))</f>
        <v/>
      </c>
      <c r="F300" s="34"/>
      <c r="G300" s="34"/>
      <c r="H300" s="34"/>
    </row>
    <row r="301" customFormat="false" ht="19.5" hidden="false" customHeight="true" outlineLevel="0" collapsed="false">
      <c r="A301" s="30"/>
      <c r="B301" s="30"/>
      <c r="C301" s="31"/>
      <c r="D301" s="32" t="str">
        <f aca="true">IF(C301="","",C301-TODAY())</f>
        <v/>
      </c>
      <c r="E301" s="32" t="str">
        <f aca="false">IF(C301="","",IF(D301&lt;0,"Scaduto",IF(D301&lt;=60,"Da rinnovare","Ok")))</f>
        <v/>
      </c>
      <c r="F301" s="30"/>
      <c r="G301" s="30"/>
      <c r="H301" s="30"/>
    </row>
    <row r="302" customFormat="false" ht="19.5" hidden="false" customHeight="true" outlineLevel="0" collapsed="false">
      <c r="A302" s="34"/>
      <c r="B302" s="34"/>
      <c r="C302" s="35"/>
      <c r="D302" s="32" t="str">
        <f aca="true">IF(C302="","",C302-TODAY())</f>
        <v/>
      </c>
      <c r="E302" s="32" t="str">
        <f aca="false">IF(C302="","",IF(D302&lt;0,"Scaduto",IF(D302&lt;=60,"Da rinnovare","Ok")))</f>
        <v/>
      </c>
      <c r="F302" s="34"/>
      <c r="G302" s="34"/>
      <c r="H302" s="34"/>
    </row>
    <row r="303" customFormat="false" ht="19.5" hidden="false" customHeight="true" outlineLevel="0" collapsed="false">
      <c r="A303" s="30"/>
      <c r="B303" s="30"/>
      <c r="C303" s="31"/>
      <c r="D303" s="32" t="str">
        <f aca="true">IF(C303="","",C303-TODAY())</f>
        <v/>
      </c>
      <c r="E303" s="32" t="str">
        <f aca="false">IF(C303="","",IF(D303&lt;0,"Scaduto",IF(D303&lt;=60,"Da rinnovare","Ok")))</f>
        <v/>
      </c>
      <c r="F303" s="30"/>
      <c r="G303" s="30"/>
      <c r="H303" s="30"/>
    </row>
    <row r="304" customFormat="false" ht="19.5" hidden="false" customHeight="true" outlineLevel="0" collapsed="false">
      <c r="A304" s="34"/>
      <c r="B304" s="34"/>
      <c r="C304" s="35"/>
      <c r="D304" s="32" t="str">
        <f aca="true">IF(C304="","",C304-TODAY())</f>
        <v/>
      </c>
      <c r="E304" s="32" t="str">
        <f aca="false">IF(C304="","",IF(D304&lt;0,"Scaduto",IF(D304&lt;=60,"Da rinnovare","Ok")))</f>
        <v/>
      </c>
      <c r="F304" s="34"/>
      <c r="G304" s="34"/>
      <c r="H304" s="34"/>
    </row>
  </sheetData>
  <conditionalFormatting sqref="E5:E304">
    <cfRule type="expression" priority="2" aboveAverage="0" equalAverage="0" bottom="0" percent="0" rank="0" text="" dxfId="2">
      <formula>E5="Scaduto"</formula>
    </cfRule>
    <cfRule type="expression" priority="3" aboveAverage="0" equalAverage="0" bottom="0" percent="0" rank="0" text="" dxfId="3">
      <formula>E5="Da rinnovare"</formula>
    </cfRule>
  </conditionalFormatting>
  <dataValidations count="3">
    <dataValidation allowBlank="true" errorStyle="stop" operator="between" prompt="Scegli dall'elenco della scheda Famiglia, oppure scrivi (es. «Tutti»)." promptTitle="Scegli o scrivi" showDropDown="false" showErrorMessage="false" showInputMessage="false" sqref="B5:B304" type="list">
      <formula1>Famiglia!$A$5:$A$34</formula1>
      <formula2>0</formula2>
    </dataValidation>
    <dataValidation allowBlank="true" errorStyle="stop" operator="between" showDropDown="false" showErrorMessage="true" showInputMessage="false" sqref="G5:G304" type="list">
      <formula1>"Fascicolo sanitario,App IO,Mail,Foto sul telefono,Da nessuna parte"</formula1>
      <formula2>0</formula2>
    </dataValidation>
    <dataValidation allowBlank="true" errorStyle="stop" operator="between" prompt="Scegli dall'elenco della scheda Famiglia, oppure scrivi (es. «Tutti»)." promptTitle="Scegli o scrivi" showDropDown="false" showErrorMessage="false" showInputMessage="false" sqref="A5:A304" type="list">
      <formula1>"Tessera sanitaria,Carta d'identità,Passaporto,Patente,Libretto vaccinale,Referto,Lettera di dimissione,Certificato,Altro"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8" min="2" style="0" width="20"/>
  </cols>
  <sheetData>
    <row r="1" customFormat="false" ht="22.05" hidden="false" customHeight="false" outlineLevel="0" collapsed="false">
      <c r="A1" s="28" t="s">
        <v>131</v>
      </c>
    </row>
    <row r="2" customFormat="false" ht="15" hidden="false" customHeight="false" outlineLevel="0" collapsed="false">
      <c r="A2" s="2" t="s">
        <v>132</v>
      </c>
    </row>
    <row r="4" customFormat="false" ht="15" hidden="false" customHeight="false" outlineLevel="0" collapsed="false">
      <c r="B4" s="44" t="s">
        <v>133</v>
      </c>
      <c r="C4" s="44" t="s">
        <v>134</v>
      </c>
      <c r="D4" s="44" t="s">
        <v>135</v>
      </c>
      <c r="E4" s="44" t="s">
        <v>136</v>
      </c>
      <c r="F4" s="44" t="s">
        <v>137</v>
      </c>
      <c r="G4" s="44" t="s">
        <v>138</v>
      </c>
      <c r="H4" s="44" t="s">
        <v>139</v>
      </c>
    </row>
    <row r="5" customFormat="false" ht="48" hidden="false" customHeight="true" outlineLevel="0" collapsed="false">
      <c r="A5" s="45" t="s">
        <v>140</v>
      </c>
      <c r="B5" s="46" t="s">
        <v>141</v>
      </c>
      <c r="C5" s="46"/>
      <c r="D5" s="46"/>
      <c r="E5" s="46"/>
      <c r="F5" s="46"/>
      <c r="G5" s="46"/>
      <c r="H5" s="46"/>
    </row>
    <row r="6" customFormat="false" ht="48" hidden="false" customHeight="true" outlineLevel="0" collapsed="false">
      <c r="A6" s="45" t="s">
        <v>142</v>
      </c>
      <c r="B6" s="47"/>
      <c r="C6" s="47"/>
      <c r="D6" s="47"/>
      <c r="E6" s="47"/>
      <c r="F6" s="47"/>
      <c r="G6" s="47"/>
      <c r="H6" s="47"/>
    </row>
    <row r="7" customFormat="false" ht="48" hidden="false" customHeight="true" outlineLevel="0" collapsed="false">
      <c r="A7" s="45" t="s">
        <v>143</v>
      </c>
      <c r="B7" s="46" t="s">
        <v>144</v>
      </c>
      <c r="C7" s="46"/>
      <c r="D7" s="46"/>
      <c r="E7" s="46"/>
      <c r="F7" s="46"/>
      <c r="G7" s="46"/>
      <c r="H7" s="46"/>
    </row>
    <row r="8" customFormat="false" ht="48" hidden="false" customHeight="true" outlineLevel="0" collapsed="false">
      <c r="A8" s="45" t="s">
        <v>66</v>
      </c>
      <c r="B8" s="47" t="s">
        <v>145</v>
      </c>
      <c r="C8" s="47"/>
      <c r="D8" s="47"/>
      <c r="E8" s="47"/>
      <c r="F8" s="47"/>
      <c r="G8" s="47"/>
      <c r="H8" s="47"/>
    </row>
    <row r="10" customFormat="false" ht="15" hidden="false" customHeight="false" outlineLevel="0" collapsed="false">
      <c r="A10" s="36" t="s">
        <v>146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28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28" t="s">
        <v>147</v>
      </c>
    </row>
    <row r="2" customFormat="false" ht="15" hidden="false" customHeight="false" outlineLevel="0" collapsed="false">
      <c r="A2" s="2" t="s">
        <v>148</v>
      </c>
    </row>
    <row r="4" customFormat="false" ht="31.5" hidden="false" customHeight="true" outlineLevel="0" collapsed="false">
      <c r="A4" s="29" t="s">
        <v>149</v>
      </c>
      <c r="B4" s="29" t="s">
        <v>37</v>
      </c>
      <c r="C4" s="29" t="s">
        <v>150</v>
      </c>
      <c r="D4" s="29" t="s">
        <v>151</v>
      </c>
      <c r="E4" s="29" t="s">
        <v>45</v>
      </c>
    </row>
    <row r="5" customFormat="false" ht="19.5" hidden="false" customHeight="true" outlineLevel="0" collapsed="false">
      <c r="A5" s="30" t="s">
        <v>152</v>
      </c>
      <c r="B5" s="30" t="s">
        <v>153</v>
      </c>
      <c r="C5" s="30" t="s">
        <v>154</v>
      </c>
      <c r="D5" s="30" t="s">
        <v>155</v>
      </c>
      <c r="E5" s="33" t="s">
        <v>52</v>
      </c>
    </row>
    <row r="6" customFormat="false" ht="19.5" hidden="false" customHeight="true" outlineLevel="0" collapsed="false">
      <c r="A6" s="34" t="s">
        <v>156</v>
      </c>
      <c r="B6" s="34"/>
      <c r="C6" s="34" t="s">
        <v>157</v>
      </c>
      <c r="D6" s="34" t="s">
        <v>158</v>
      </c>
      <c r="E6" s="41" t="s">
        <v>159</v>
      </c>
    </row>
    <row r="7" customFormat="false" ht="19.5" hidden="false" customHeight="true" outlineLevel="0" collapsed="false">
      <c r="A7" s="30" t="s">
        <v>160</v>
      </c>
      <c r="B7" s="30" t="s">
        <v>161</v>
      </c>
      <c r="C7" s="30"/>
      <c r="D7" s="30" t="s">
        <v>162</v>
      </c>
      <c r="E7" s="33" t="s">
        <v>163</v>
      </c>
    </row>
    <row r="8" customFormat="false" ht="19.5" hidden="false" customHeight="true" outlineLevel="0" collapsed="false">
      <c r="A8" s="34" t="s">
        <v>164</v>
      </c>
      <c r="B8" s="34"/>
      <c r="C8" s="34"/>
      <c r="D8" s="34" t="s">
        <v>165</v>
      </c>
      <c r="E8" s="41" t="s">
        <v>166</v>
      </c>
    </row>
    <row r="9" customFormat="false" ht="19.5" hidden="false" customHeight="true" outlineLevel="0" collapsed="false">
      <c r="A9" s="30"/>
      <c r="B9" s="30"/>
      <c r="C9" s="30"/>
      <c r="D9" s="30"/>
      <c r="E9" s="30"/>
    </row>
    <row r="10" customFormat="false" ht="19.5" hidden="false" customHeight="true" outlineLevel="0" collapsed="false">
      <c r="A10" s="34"/>
      <c r="B10" s="34"/>
      <c r="C10" s="34"/>
      <c r="D10" s="34"/>
      <c r="E10" s="34"/>
    </row>
    <row r="11" customFormat="false" ht="19.5" hidden="false" customHeight="true" outlineLevel="0" collapsed="false">
      <c r="A11" s="30"/>
      <c r="B11" s="30"/>
      <c r="C11" s="30"/>
      <c r="D11" s="30"/>
      <c r="E11" s="30"/>
    </row>
    <row r="12" customFormat="false" ht="19.5" hidden="false" customHeight="true" outlineLevel="0" collapsed="false">
      <c r="A12" s="34"/>
      <c r="B12" s="34"/>
      <c r="C12" s="34"/>
      <c r="D12" s="34"/>
      <c r="E12" s="34"/>
    </row>
    <row r="13" customFormat="false" ht="19.5" hidden="false" customHeight="true" outlineLevel="0" collapsed="false">
      <c r="A13" s="30"/>
      <c r="B13" s="30"/>
      <c r="C13" s="30"/>
      <c r="D13" s="30"/>
      <c r="E13" s="30"/>
    </row>
    <row r="14" customFormat="false" ht="19.5" hidden="false" customHeight="true" outlineLevel="0" collapsed="false">
      <c r="A14" s="34"/>
      <c r="B14" s="34"/>
      <c r="C14" s="34"/>
      <c r="D14" s="34"/>
      <c r="E14" s="34"/>
    </row>
    <row r="15" customFormat="false" ht="19.5" hidden="false" customHeight="true" outlineLevel="0" collapsed="false">
      <c r="A15" s="30"/>
      <c r="B15" s="30"/>
      <c r="C15" s="30"/>
      <c r="D15" s="30"/>
      <c r="E15" s="30"/>
    </row>
    <row r="16" customFormat="false" ht="19.5" hidden="false" customHeight="true" outlineLevel="0" collapsed="false">
      <c r="A16" s="34"/>
      <c r="B16" s="34"/>
      <c r="C16" s="34"/>
      <c r="D16" s="34"/>
      <c r="E16" s="34"/>
    </row>
    <row r="17" customFormat="false" ht="19.5" hidden="false" customHeight="true" outlineLevel="0" collapsed="false">
      <c r="A17" s="30"/>
      <c r="B17" s="30"/>
      <c r="C17" s="30"/>
      <c r="D17" s="30"/>
      <c r="E17" s="30"/>
    </row>
    <row r="18" customFormat="false" ht="19.5" hidden="false" customHeight="true" outlineLevel="0" collapsed="false">
      <c r="A18" s="34"/>
      <c r="B18" s="34"/>
      <c r="C18" s="34"/>
      <c r="D18" s="34"/>
      <c r="E18" s="34"/>
    </row>
    <row r="19" customFormat="false" ht="19.5" hidden="false" customHeight="true" outlineLevel="0" collapsed="false">
      <c r="A19" s="30"/>
      <c r="B19" s="30"/>
      <c r="C19" s="30"/>
      <c r="D19" s="30"/>
      <c r="E19" s="30"/>
    </row>
    <row r="20" customFormat="false" ht="19.5" hidden="false" customHeight="true" outlineLevel="0" collapsed="false">
      <c r="A20" s="34"/>
      <c r="B20" s="34"/>
      <c r="C20" s="34"/>
      <c r="D20" s="34"/>
      <c r="E20" s="34"/>
    </row>
    <row r="21" customFormat="false" ht="19.5" hidden="false" customHeight="true" outlineLevel="0" collapsed="false">
      <c r="A21" s="30"/>
      <c r="B21" s="30"/>
      <c r="C21" s="30"/>
      <c r="D21" s="30"/>
      <c r="E21" s="30"/>
    </row>
    <row r="22" customFormat="false" ht="19.5" hidden="false" customHeight="true" outlineLevel="0" collapsed="false">
      <c r="A22" s="34"/>
      <c r="B22" s="34"/>
      <c r="C22" s="34"/>
      <c r="D22" s="34"/>
      <c r="E22" s="34"/>
    </row>
    <row r="23" customFormat="false" ht="19.5" hidden="false" customHeight="true" outlineLevel="0" collapsed="false">
      <c r="A23" s="30"/>
      <c r="B23" s="30"/>
      <c r="C23" s="30"/>
      <c r="D23" s="30"/>
      <c r="E23" s="30"/>
    </row>
    <row r="24" customFormat="false" ht="19.5" hidden="false" customHeight="true" outlineLevel="0" collapsed="false">
      <c r="A24" s="34"/>
      <c r="B24" s="34"/>
      <c r="C24" s="34"/>
      <c r="D24" s="34"/>
      <c r="E24" s="34"/>
    </row>
    <row r="25" customFormat="false" ht="19.5" hidden="false" customHeight="true" outlineLevel="0" collapsed="false">
      <c r="A25" s="30"/>
      <c r="B25" s="30"/>
      <c r="C25" s="30"/>
      <c r="D25" s="30"/>
      <c r="E25" s="30"/>
    </row>
    <row r="26" customFormat="false" ht="19.5" hidden="false" customHeight="true" outlineLevel="0" collapsed="false">
      <c r="A26" s="34"/>
      <c r="B26" s="34"/>
      <c r="C26" s="34"/>
      <c r="D26" s="34"/>
      <c r="E26" s="34"/>
    </row>
    <row r="27" customFormat="false" ht="19.5" hidden="false" customHeight="true" outlineLevel="0" collapsed="false">
      <c r="A27" s="30"/>
      <c r="B27" s="30"/>
      <c r="C27" s="30"/>
      <c r="D27" s="30"/>
      <c r="E27" s="30"/>
    </row>
    <row r="28" customFormat="false" ht="19.5" hidden="false" customHeight="true" outlineLevel="0" collapsed="false">
      <c r="A28" s="34"/>
      <c r="B28" s="34"/>
      <c r="C28" s="34"/>
      <c r="D28" s="34"/>
      <c r="E28" s="34"/>
    </row>
    <row r="29" customFormat="false" ht="19.5" hidden="false" customHeight="true" outlineLevel="0" collapsed="false">
      <c r="A29" s="30"/>
      <c r="B29" s="30"/>
      <c r="C29" s="30"/>
      <c r="D29" s="30"/>
      <c r="E29" s="30"/>
    </row>
    <row r="30" customFormat="false" ht="19.5" hidden="false" customHeight="true" outlineLevel="0" collapsed="false">
      <c r="A30" s="34"/>
      <c r="B30" s="34"/>
      <c r="C30" s="34"/>
      <c r="D30" s="34"/>
      <c r="E30" s="34"/>
    </row>
    <row r="31" customFormat="false" ht="19.5" hidden="false" customHeight="true" outlineLevel="0" collapsed="false">
      <c r="A31" s="30"/>
      <c r="B31" s="30"/>
      <c r="C31" s="30"/>
      <c r="D31" s="30"/>
      <c r="E31" s="30"/>
    </row>
    <row r="32" customFormat="false" ht="19.5" hidden="false" customHeight="true" outlineLevel="0" collapsed="false">
      <c r="A32" s="34"/>
      <c r="B32" s="34"/>
      <c r="C32" s="34"/>
      <c r="D32" s="34"/>
      <c r="E32" s="34"/>
    </row>
    <row r="33" customFormat="false" ht="19.5" hidden="false" customHeight="true" outlineLevel="0" collapsed="false">
      <c r="A33" s="30"/>
      <c r="B33" s="30"/>
      <c r="C33" s="30"/>
      <c r="D33" s="30"/>
      <c r="E33" s="30"/>
    </row>
    <row r="34" customFormat="false" ht="19.5" hidden="false" customHeight="true" outlineLevel="0" collapsed="false">
      <c r="A34" s="34"/>
      <c r="B34" s="34"/>
      <c r="C34" s="34"/>
      <c r="D34" s="34"/>
      <c r="E34" s="34"/>
    </row>
    <row r="35" customFormat="false" ht="19.5" hidden="false" customHeight="true" outlineLevel="0" collapsed="false">
      <c r="A35" s="30"/>
      <c r="B35" s="30"/>
      <c r="C35" s="30"/>
      <c r="D35" s="30"/>
      <c r="E35" s="30"/>
    </row>
    <row r="36" customFormat="false" ht="19.5" hidden="false" customHeight="true" outlineLevel="0" collapsed="false">
      <c r="A36" s="34"/>
      <c r="B36" s="34"/>
      <c r="C36" s="34"/>
      <c r="D36" s="34"/>
      <c r="E36" s="34"/>
    </row>
    <row r="37" customFormat="false" ht="19.5" hidden="false" customHeight="true" outlineLevel="0" collapsed="false">
      <c r="A37" s="30"/>
      <c r="B37" s="30"/>
      <c r="C37" s="30"/>
      <c r="D37" s="30"/>
      <c r="E37" s="30"/>
    </row>
    <row r="38" customFormat="false" ht="19.5" hidden="false" customHeight="true" outlineLevel="0" collapsed="false">
      <c r="A38" s="34"/>
      <c r="B38" s="34"/>
      <c r="C38" s="34"/>
      <c r="D38" s="34"/>
      <c r="E38" s="34"/>
    </row>
    <row r="39" customFormat="false" ht="19.5" hidden="false" customHeight="true" outlineLevel="0" collapsed="false">
      <c r="A39" s="30"/>
      <c r="B39" s="30"/>
      <c r="C39" s="30"/>
      <c r="D39" s="30"/>
      <c r="E39" s="30"/>
    </row>
    <row r="40" customFormat="false" ht="19.5" hidden="false" customHeight="true" outlineLevel="0" collapsed="false">
      <c r="A40" s="34"/>
      <c r="B40" s="34"/>
      <c r="C40" s="34"/>
      <c r="D40" s="34"/>
      <c r="E40" s="34"/>
    </row>
    <row r="41" customFormat="false" ht="19.5" hidden="false" customHeight="true" outlineLevel="0" collapsed="false">
      <c r="A41" s="30"/>
      <c r="B41" s="30"/>
      <c r="C41" s="30"/>
      <c r="D41" s="30"/>
      <c r="E41" s="30"/>
    </row>
    <row r="42" customFormat="false" ht="19.5" hidden="false" customHeight="true" outlineLevel="0" collapsed="false">
      <c r="A42" s="34"/>
      <c r="B42" s="34"/>
      <c r="C42" s="34"/>
      <c r="D42" s="34"/>
      <c r="E42" s="34"/>
    </row>
    <row r="43" customFormat="false" ht="19.5" hidden="false" customHeight="true" outlineLevel="0" collapsed="false">
      <c r="A43" s="30"/>
      <c r="B43" s="30"/>
      <c r="C43" s="30"/>
      <c r="D43" s="30"/>
      <c r="E43" s="30"/>
    </row>
    <row r="44" customFormat="false" ht="19.5" hidden="false" customHeight="true" outlineLevel="0" collapsed="false">
      <c r="A44" s="34"/>
      <c r="B44" s="34"/>
      <c r="C44" s="34"/>
      <c r="D44" s="34"/>
      <c r="E44" s="34"/>
    </row>
  </sheetData>
  <dataValidations count="1">
    <dataValidation allowBlank="true" errorStyle="stop" operator="between" prompt="Scegli dall'elenco della scheda Famiglia, oppure scrivi (es. «Tutti»)." promptTitle="Scegli o scrivi" showDropDown="false" showErrorMessage="false" showInputMessage="false" sqref="A5:A44" type="list">
      <formula1>"Pediatra,Medico di famiglia,Guardia medica,CUP (prenotazioni),URP della ASL,Fascicolo sanitario (numero verde),Pronto soccorso,Nido / scuola,Nonni,Babysitter,Farmacia,Altro"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8"/>
    <col collapsed="false" customWidth="true" hidden="false" outlineLevel="0" max="4" min="4" style="0" width="46"/>
    <col collapsed="false" customWidth="true" hidden="false" outlineLevel="0" max="5" min="5" style="0" width="26"/>
  </cols>
  <sheetData>
    <row r="1" customFormat="false" ht="27.75" hidden="false" customHeight="true" outlineLevel="0" collapsed="false">
      <c r="A1" s="28" t="s">
        <v>167</v>
      </c>
    </row>
    <row r="2" customFormat="false" ht="15" hidden="false" customHeight="false" outlineLevel="0" collapsed="false">
      <c r="A2" s="2" t="s">
        <v>168</v>
      </c>
    </row>
    <row r="4" customFormat="false" ht="31.5" hidden="false" customHeight="true" outlineLevel="0" collapsed="false">
      <c r="A4" s="29" t="s">
        <v>60</v>
      </c>
      <c r="B4" s="29" t="s">
        <v>149</v>
      </c>
      <c r="C4" s="29" t="s">
        <v>169</v>
      </c>
      <c r="D4" s="29" t="s">
        <v>170</v>
      </c>
      <c r="E4" s="29" t="s">
        <v>171</v>
      </c>
    </row>
    <row r="5" customFormat="false" ht="31.5" hidden="false" customHeight="true" outlineLevel="0" collapsed="false">
      <c r="A5" s="31" t="n">
        <v>46310</v>
      </c>
      <c r="B5" s="30" t="s">
        <v>46</v>
      </c>
      <c r="C5" s="30" t="s">
        <v>172</v>
      </c>
      <c r="D5" s="30" t="s">
        <v>173</v>
      </c>
      <c r="E5" s="30" t="s">
        <v>174</v>
      </c>
    </row>
    <row r="6" customFormat="false" ht="31.5" hidden="false" customHeight="true" outlineLevel="0" collapsed="false">
      <c r="A6" s="35"/>
      <c r="B6" s="34"/>
      <c r="C6" s="34"/>
      <c r="D6" s="34"/>
      <c r="E6" s="34"/>
    </row>
    <row r="7" customFormat="false" ht="31.5" hidden="false" customHeight="true" outlineLevel="0" collapsed="false">
      <c r="A7" s="31"/>
      <c r="B7" s="30"/>
      <c r="C7" s="30"/>
      <c r="D7" s="30"/>
      <c r="E7" s="30"/>
    </row>
    <row r="8" customFormat="false" ht="31.5" hidden="false" customHeight="true" outlineLevel="0" collapsed="false">
      <c r="A8" s="35"/>
      <c r="B8" s="34"/>
      <c r="C8" s="34"/>
      <c r="D8" s="34"/>
      <c r="E8" s="34"/>
    </row>
    <row r="9" customFormat="false" ht="31.5" hidden="false" customHeight="true" outlineLevel="0" collapsed="false">
      <c r="A9" s="31"/>
      <c r="B9" s="30"/>
      <c r="C9" s="30"/>
      <c r="D9" s="30"/>
      <c r="E9" s="30"/>
    </row>
    <row r="10" customFormat="false" ht="31.5" hidden="false" customHeight="true" outlineLevel="0" collapsed="false">
      <c r="A10" s="35"/>
      <c r="B10" s="34"/>
      <c r="C10" s="34"/>
      <c r="D10" s="34"/>
      <c r="E10" s="34"/>
    </row>
    <row r="11" customFormat="false" ht="31.5" hidden="false" customHeight="true" outlineLevel="0" collapsed="false">
      <c r="A11" s="31"/>
      <c r="B11" s="30"/>
      <c r="C11" s="30"/>
      <c r="D11" s="30"/>
      <c r="E11" s="30"/>
    </row>
    <row r="12" customFormat="false" ht="31.5" hidden="false" customHeight="true" outlineLevel="0" collapsed="false">
      <c r="A12" s="35"/>
      <c r="B12" s="34"/>
      <c r="C12" s="34"/>
      <c r="D12" s="34"/>
      <c r="E12" s="34"/>
    </row>
    <row r="13" customFormat="false" ht="31.5" hidden="false" customHeight="true" outlineLevel="0" collapsed="false">
      <c r="A13" s="31"/>
      <c r="B13" s="30"/>
      <c r="C13" s="30"/>
      <c r="D13" s="30"/>
      <c r="E13" s="30"/>
    </row>
    <row r="14" customFormat="false" ht="31.5" hidden="false" customHeight="true" outlineLevel="0" collapsed="false">
      <c r="A14" s="35"/>
      <c r="B14" s="34"/>
      <c r="C14" s="34"/>
      <c r="D14" s="34"/>
      <c r="E14" s="34"/>
    </row>
    <row r="15" customFormat="false" ht="31.5" hidden="false" customHeight="true" outlineLevel="0" collapsed="false">
      <c r="A15" s="31"/>
      <c r="B15" s="30"/>
      <c r="C15" s="30"/>
      <c r="D15" s="30"/>
      <c r="E15" s="30"/>
    </row>
    <row r="16" customFormat="false" ht="31.5" hidden="false" customHeight="true" outlineLevel="0" collapsed="false">
      <c r="A16" s="35"/>
      <c r="B16" s="34"/>
      <c r="C16" s="34"/>
      <c r="D16" s="34"/>
      <c r="E16" s="34"/>
    </row>
    <row r="17" customFormat="false" ht="31.5" hidden="false" customHeight="true" outlineLevel="0" collapsed="false">
      <c r="A17" s="31"/>
      <c r="B17" s="30"/>
      <c r="C17" s="30"/>
      <c r="D17" s="30"/>
      <c r="E17" s="30"/>
    </row>
    <row r="18" customFormat="false" ht="31.5" hidden="false" customHeight="true" outlineLevel="0" collapsed="false">
      <c r="A18" s="35"/>
      <c r="B18" s="34"/>
      <c r="C18" s="34"/>
      <c r="D18" s="34"/>
      <c r="E18" s="34"/>
    </row>
    <row r="19" customFormat="false" ht="31.5" hidden="false" customHeight="true" outlineLevel="0" collapsed="false">
      <c r="A19" s="31"/>
      <c r="B19" s="30"/>
      <c r="C19" s="30"/>
      <c r="D19" s="30"/>
      <c r="E19" s="30"/>
    </row>
    <row r="20" customFormat="false" ht="31.5" hidden="false" customHeight="true" outlineLevel="0" collapsed="false">
      <c r="A20" s="35"/>
      <c r="B20" s="34"/>
      <c r="C20" s="34"/>
      <c r="D20" s="34"/>
      <c r="E20" s="34"/>
    </row>
    <row r="21" customFormat="false" ht="31.5" hidden="false" customHeight="true" outlineLevel="0" collapsed="false">
      <c r="A21" s="31"/>
      <c r="B21" s="30"/>
      <c r="C21" s="30"/>
      <c r="D21" s="30"/>
      <c r="E21" s="30"/>
    </row>
    <row r="22" customFormat="false" ht="31.5" hidden="false" customHeight="true" outlineLevel="0" collapsed="false">
      <c r="A22" s="35"/>
      <c r="B22" s="34"/>
      <c r="C22" s="34"/>
      <c r="D22" s="34"/>
      <c r="E22" s="34"/>
    </row>
    <row r="23" customFormat="false" ht="31.5" hidden="false" customHeight="true" outlineLevel="0" collapsed="false">
      <c r="A23" s="31"/>
      <c r="B23" s="30"/>
      <c r="C23" s="30"/>
      <c r="D23" s="30"/>
      <c r="E23" s="30"/>
    </row>
    <row r="24" customFormat="false" ht="31.5" hidden="false" customHeight="true" outlineLevel="0" collapsed="false">
      <c r="A24" s="35"/>
      <c r="B24" s="34"/>
      <c r="C24" s="34"/>
      <c r="D24" s="34"/>
      <c r="E24" s="34"/>
    </row>
    <row r="25" customFormat="false" ht="31.5" hidden="false" customHeight="true" outlineLevel="0" collapsed="false">
      <c r="A25" s="31"/>
      <c r="B25" s="30"/>
      <c r="C25" s="30"/>
      <c r="D25" s="30"/>
      <c r="E25" s="30"/>
    </row>
    <row r="26" customFormat="false" ht="31.5" hidden="false" customHeight="true" outlineLevel="0" collapsed="false">
      <c r="A26" s="35"/>
      <c r="B26" s="34"/>
      <c r="C26" s="34"/>
      <c r="D26" s="34"/>
      <c r="E26" s="34"/>
    </row>
    <row r="27" customFormat="false" ht="31.5" hidden="false" customHeight="true" outlineLevel="0" collapsed="false">
      <c r="A27" s="31"/>
      <c r="B27" s="30"/>
      <c r="C27" s="30"/>
      <c r="D27" s="30"/>
      <c r="E27" s="30"/>
    </row>
    <row r="28" customFormat="false" ht="31.5" hidden="false" customHeight="true" outlineLevel="0" collapsed="false">
      <c r="A28" s="35"/>
      <c r="B28" s="34"/>
      <c r="C28" s="34"/>
      <c r="D28" s="34"/>
      <c r="E28" s="34"/>
    </row>
    <row r="29" customFormat="false" ht="31.5" hidden="false" customHeight="true" outlineLevel="0" collapsed="false">
      <c r="A29" s="31"/>
      <c r="B29" s="30"/>
      <c r="C29" s="30"/>
      <c r="D29" s="30"/>
      <c r="E29" s="30"/>
    </row>
    <row r="30" customFormat="false" ht="31.5" hidden="false" customHeight="true" outlineLevel="0" collapsed="false">
      <c r="A30" s="35"/>
      <c r="B30" s="34"/>
      <c r="C30" s="34"/>
      <c r="D30" s="34"/>
      <c r="E30" s="34"/>
    </row>
    <row r="31" customFormat="false" ht="31.5" hidden="false" customHeight="true" outlineLevel="0" collapsed="false">
      <c r="A31" s="31"/>
      <c r="B31" s="30"/>
      <c r="C31" s="30"/>
      <c r="D31" s="30"/>
      <c r="E31" s="30"/>
    </row>
    <row r="32" customFormat="false" ht="31.5" hidden="false" customHeight="true" outlineLevel="0" collapsed="false">
      <c r="A32" s="35"/>
      <c r="B32" s="34"/>
      <c r="C32" s="34"/>
      <c r="D32" s="34"/>
      <c r="E32" s="34"/>
    </row>
    <row r="33" customFormat="false" ht="31.5" hidden="false" customHeight="true" outlineLevel="0" collapsed="false">
      <c r="A33" s="31"/>
      <c r="B33" s="30"/>
      <c r="C33" s="30"/>
      <c r="D33" s="30"/>
      <c r="E33" s="30"/>
    </row>
    <row r="34" customFormat="false" ht="31.5" hidden="false" customHeight="true" outlineLevel="0" collapsed="false">
      <c r="A34" s="35"/>
      <c r="B34" s="34"/>
      <c r="C34" s="34"/>
      <c r="D34" s="34"/>
      <c r="E34" s="34"/>
    </row>
    <row r="35" customFormat="false" ht="31.5" hidden="false" customHeight="true" outlineLevel="0" collapsed="false">
      <c r="A35" s="31"/>
      <c r="B35" s="30"/>
      <c r="C35" s="30"/>
      <c r="D35" s="30"/>
      <c r="E35" s="30"/>
    </row>
    <row r="36" customFormat="false" ht="31.5" hidden="false" customHeight="true" outlineLevel="0" collapsed="false">
      <c r="A36" s="35"/>
      <c r="B36" s="34"/>
      <c r="C36" s="34"/>
      <c r="D36" s="34"/>
      <c r="E36" s="34"/>
    </row>
    <row r="37" customFormat="false" ht="31.5" hidden="false" customHeight="true" outlineLevel="0" collapsed="false">
      <c r="A37" s="31"/>
      <c r="B37" s="30"/>
      <c r="C37" s="30"/>
      <c r="D37" s="30"/>
      <c r="E37" s="30"/>
    </row>
    <row r="38" customFormat="false" ht="31.5" hidden="false" customHeight="true" outlineLevel="0" collapsed="false">
      <c r="A38" s="35"/>
      <c r="B38" s="34"/>
      <c r="C38" s="34"/>
      <c r="D38" s="34"/>
      <c r="E38" s="34"/>
    </row>
    <row r="39" customFormat="false" ht="31.5" hidden="false" customHeight="true" outlineLevel="0" collapsed="false">
      <c r="A39" s="31"/>
      <c r="B39" s="30"/>
      <c r="C39" s="30"/>
      <c r="D39" s="30"/>
      <c r="E39" s="30"/>
    </row>
    <row r="40" customFormat="false" ht="31.5" hidden="false" customHeight="true" outlineLevel="0" collapsed="false">
      <c r="A40" s="35"/>
      <c r="B40" s="34"/>
      <c r="C40" s="34"/>
      <c r="D40" s="34"/>
      <c r="E40" s="34"/>
    </row>
    <row r="41" customFormat="false" ht="31.5" hidden="false" customHeight="true" outlineLevel="0" collapsed="false">
      <c r="A41" s="31"/>
      <c r="B41" s="30"/>
      <c r="C41" s="30"/>
      <c r="D41" s="30"/>
      <c r="E41" s="30"/>
    </row>
    <row r="42" customFormat="false" ht="31.5" hidden="false" customHeight="true" outlineLevel="0" collapsed="false">
      <c r="A42" s="35"/>
      <c r="B42" s="34"/>
      <c r="C42" s="34"/>
      <c r="D42" s="34"/>
      <c r="E42" s="34"/>
    </row>
    <row r="43" customFormat="false" ht="31.5" hidden="false" customHeight="true" outlineLevel="0" collapsed="false">
      <c r="A43" s="31"/>
      <c r="B43" s="30"/>
      <c r="C43" s="30"/>
      <c r="D43" s="30"/>
      <c r="E43" s="30"/>
    </row>
    <row r="44" customFormat="false" ht="31.5" hidden="false" customHeight="true" outlineLevel="0" collapsed="false">
      <c r="A44" s="35"/>
      <c r="B44" s="34"/>
      <c r="C44" s="34"/>
      <c r="D44" s="34"/>
      <c r="E44" s="34"/>
    </row>
    <row r="45" customFormat="false" ht="31.5" hidden="false" customHeight="true" outlineLevel="0" collapsed="false">
      <c r="A45" s="31"/>
      <c r="B45" s="30"/>
      <c r="C45" s="30"/>
      <c r="D45" s="30"/>
      <c r="E45" s="30"/>
    </row>
    <row r="46" customFormat="false" ht="31.5" hidden="false" customHeight="true" outlineLevel="0" collapsed="false">
      <c r="A46" s="35"/>
      <c r="B46" s="34"/>
      <c r="C46" s="34"/>
      <c r="D46" s="34"/>
      <c r="E46" s="34"/>
    </row>
    <row r="47" customFormat="false" ht="31.5" hidden="false" customHeight="true" outlineLevel="0" collapsed="false">
      <c r="A47" s="31"/>
      <c r="B47" s="30"/>
      <c r="C47" s="30"/>
      <c r="D47" s="30"/>
      <c r="E47" s="30"/>
    </row>
    <row r="48" customFormat="false" ht="31.5" hidden="false" customHeight="true" outlineLevel="0" collapsed="false">
      <c r="A48" s="35"/>
      <c r="B48" s="34"/>
      <c r="C48" s="34"/>
      <c r="D48" s="34"/>
      <c r="E48" s="34"/>
    </row>
    <row r="49" customFormat="false" ht="31.5" hidden="false" customHeight="true" outlineLevel="0" collapsed="false">
      <c r="A49" s="31"/>
      <c r="B49" s="30"/>
      <c r="C49" s="30"/>
      <c r="D49" s="30"/>
      <c r="E49" s="30"/>
    </row>
    <row r="50" customFormat="false" ht="31.5" hidden="false" customHeight="true" outlineLevel="0" collapsed="false">
      <c r="A50" s="35"/>
      <c r="B50" s="34"/>
      <c r="C50" s="34"/>
      <c r="D50" s="34"/>
      <c r="E50" s="34"/>
    </row>
    <row r="51" customFormat="false" ht="31.5" hidden="false" customHeight="true" outlineLevel="0" collapsed="false">
      <c r="A51" s="31"/>
      <c r="B51" s="30"/>
      <c r="C51" s="30"/>
      <c r="D51" s="30"/>
      <c r="E51" s="30"/>
    </row>
    <row r="52" customFormat="false" ht="31.5" hidden="false" customHeight="true" outlineLevel="0" collapsed="false">
      <c r="A52" s="35"/>
      <c r="B52" s="34"/>
      <c r="C52" s="34"/>
      <c r="D52" s="34"/>
      <c r="E52" s="34"/>
    </row>
    <row r="53" customFormat="false" ht="31.5" hidden="false" customHeight="true" outlineLevel="0" collapsed="false">
      <c r="A53" s="31"/>
      <c r="B53" s="30"/>
      <c r="C53" s="30"/>
      <c r="D53" s="30"/>
      <c r="E53" s="30"/>
    </row>
    <row r="54" customFormat="false" ht="31.5" hidden="false" customHeight="true" outlineLevel="0" collapsed="false">
      <c r="A54" s="35"/>
      <c r="B54" s="34"/>
      <c r="C54" s="34"/>
      <c r="D54" s="34"/>
      <c r="E54" s="34"/>
    </row>
    <row r="55" customFormat="false" ht="31.5" hidden="false" customHeight="true" outlineLevel="0" collapsed="false">
      <c r="A55" s="31"/>
      <c r="B55" s="30"/>
      <c r="C55" s="30"/>
      <c r="D55" s="30"/>
      <c r="E55" s="30"/>
    </row>
    <row r="56" customFormat="false" ht="31.5" hidden="false" customHeight="true" outlineLevel="0" collapsed="false">
      <c r="A56" s="35"/>
      <c r="B56" s="34"/>
      <c r="C56" s="34"/>
      <c r="D56" s="34"/>
      <c r="E56" s="34"/>
    </row>
    <row r="57" customFormat="false" ht="31.5" hidden="false" customHeight="true" outlineLevel="0" collapsed="false">
      <c r="A57" s="31"/>
      <c r="B57" s="30"/>
      <c r="C57" s="30"/>
      <c r="D57" s="30"/>
      <c r="E57" s="30"/>
    </row>
    <row r="58" customFormat="false" ht="31.5" hidden="false" customHeight="true" outlineLevel="0" collapsed="false">
      <c r="A58" s="35"/>
      <c r="B58" s="34"/>
      <c r="C58" s="34"/>
      <c r="D58" s="34"/>
      <c r="E58" s="34"/>
    </row>
    <row r="59" customFormat="false" ht="31.5" hidden="false" customHeight="true" outlineLevel="0" collapsed="false">
      <c r="A59" s="31"/>
      <c r="B59" s="30"/>
      <c r="C59" s="30"/>
      <c r="D59" s="30"/>
      <c r="E59" s="30"/>
    </row>
    <row r="60" customFormat="false" ht="31.5" hidden="false" customHeight="true" outlineLevel="0" collapsed="false">
      <c r="A60" s="35"/>
      <c r="B60" s="34"/>
      <c r="C60" s="34"/>
      <c r="D60" s="34"/>
      <c r="E60" s="34"/>
    </row>
    <row r="61" customFormat="false" ht="31.5" hidden="false" customHeight="true" outlineLevel="0" collapsed="false">
      <c r="A61" s="31"/>
      <c r="B61" s="30"/>
      <c r="C61" s="30"/>
      <c r="D61" s="30"/>
      <c r="E61" s="30"/>
    </row>
    <row r="62" customFormat="false" ht="31.5" hidden="false" customHeight="true" outlineLevel="0" collapsed="false">
      <c r="A62" s="35"/>
      <c r="B62" s="34"/>
      <c r="C62" s="34"/>
      <c r="D62" s="34"/>
      <c r="E62" s="34"/>
    </row>
    <row r="63" customFormat="false" ht="31.5" hidden="false" customHeight="true" outlineLevel="0" collapsed="false">
      <c r="A63" s="31"/>
      <c r="B63" s="30"/>
      <c r="C63" s="30"/>
      <c r="D63" s="30"/>
      <c r="E63" s="30"/>
    </row>
    <row r="64" customFormat="false" ht="31.5" hidden="false" customHeight="true" outlineLevel="0" collapsed="false">
      <c r="A64" s="35"/>
      <c r="B64" s="34"/>
      <c r="C64" s="34"/>
      <c r="D64" s="34"/>
      <c r="E64" s="34"/>
    </row>
    <row r="65" customFormat="false" ht="31.5" hidden="false" customHeight="true" outlineLevel="0" collapsed="false">
      <c r="A65" s="31"/>
      <c r="B65" s="30"/>
      <c r="C65" s="30"/>
      <c r="D65" s="30"/>
      <c r="E65" s="30"/>
    </row>
    <row r="66" customFormat="false" ht="31.5" hidden="false" customHeight="true" outlineLevel="0" collapsed="false">
      <c r="A66" s="35"/>
      <c r="B66" s="34"/>
      <c r="C66" s="34"/>
      <c r="D66" s="34"/>
      <c r="E66" s="34"/>
    </row>
    <row r="67" customFormat="false" ht="31.5" hidden="false" customHeight="true" outlineLevel="0" collapsed="false">
      <c r="A67" s="31"/>
      <c r="B67" s="30"/>
      <c r="C67" s="30"/>
      <c r="D67" s="30"/>
      <c r="E67" s="30"/>
    </row>
    <row r="68" customFormat="false" ht="31.5" hidden="false" customHeight="true" outlineLevel="0" collapsed="false">
      <c r="A68" s="35"/>
      <c r="B68" s="34"/>
      <c r="C68" s="34"/>
      <c r="D68" s="34"/>
      <c r="E68" s="34"/>
    </row>
    <row r="69" customFormat="false" ht="31.5" hidden="false" customHeight="true" outlineLevel="0" collapsed="false">
      <c r="A69" s="31"/>
      <c r="B69" s="30"/>
      <c r="C69" s="30"/>
      <c r="D69" s="30"/>
      <c r="E69" s="30"/>
    </row>
    <row r="70" customFormat="false" ht="31.5" hidden="false" customHeight="true" outlineLevel="0" collapsed="false">
      <c r="A70" s="35"/>
      <c r="B70" s="34"/>
      <c r="C70" s="34"/>
      <c r="D70" s="34"/>
      <c r="E70" s="34"/>
    </row>
    <row r="71" customFormat="false" ht="31.5" hidden="false" customHeight="true" outlineLevel="0" collapsed="false">
      <c r="A71" s="31"/>
      <c r="B71" s="30"/>
      <c r="C71" s="30"/>
      <c r="D71" s="30"/>
      <c r="E71" s="30"/>
    </row>
    <row r="72" customFormat="false" ht="31.5" hidden="false" customHeight="true" outlineLevel="0" collapsed="false">
      <c r="A72" s="35"/>
      <c r="B72" s="34"/>
      <c r="C72" s="34"/>
      <c r="D72" s="34"/>
      <c r="E72" s="34"/>
    </row>
    <row r="73" customFormat="false" ht="31.5" hidden="false" customHeight="true" outlineLevel="0" collapsed="false">
      <c r="A73" s="31"/>
      <c r="B73" s="30"/>
      <c r="C73" s="30"/>
      <c r="D73" s="30"/>
      <c r="E73" s="30"/>
    </row>
    <row r="74" customFormat="false" ht="31.5" hidden="false" customHeight="true" outlineLevel="0" collapsed="false">
      <c r="A74" s="35"/>
      <c r="B74" s="34"/>
      <c r="C74" s="34"/>
      <c r="D74" s="34"/>
      <c r="E74" s="34"/>
    </row>
    <row r="75" customFormat="false" ht="31.5" hidden="false" customHeight="true" outlineLevel="0" collapsed="false">
      <c r="A75" s="31"/>
      <c r="B75" s="30"/>
      <c r="C75" s="30"/>
      <c r="D75" s="30"/>
      <c r="E75" s="30"/>
    </row>
    <row r="76" customFormat="false" ht="31.5" hidden="false" customHeight="true" outlineLevel="0" collapsed="false">
      <c r="A76" s="35"/>
      <c r="B76" s="34"/>
      <c r="C76" s="34"/>
      <c r="D76" s="34"/>
      <c r="E76" s="34"/>
    </row>
    <row r="77" customFormat="false" ht="31.5" hidden="false" customHeight="true" outlineLevel="0" collapsed="false">
      <c r="A77" s="31"/>
      <c r="B77" s="30"/>
      <c r="C77" s="30"/>
      <c r="D77" s="30"/>
      <c r="E77" s="30"/>
    </row>
    <row r="78" customFormat="false" ht="31.5" hidden="false" customHeight="true" outlineLevel="0" collapsed="false">
      <c r="A78" s="35"/>
      <c r="B78" s="34"/>
      <c r="C78" s="34"/>
      <c r="D78" s="34"/>
      <c r="E78" s="34"/>
    </row>
    <row r="79" customFormat="false" ht="31.5" hidden="false" customHeight="true" outlineLevel="0" collapsed="false">
      <c r="A79" s="31"/>
      <c r="B79" s="30"/>
      <c r="C79" s="30"/>
      <c r="D79" s="30"/>
      <c r="E79" s="30"/>
    </row>
    <row r="80" customFormat="false" ht="31.5" hidden="false" customHeight="true" outlineLevel="0" collapsed="false">
      <c r="A80" s="35"/>
      <c r="B80" s="34"/>
      <c r="C80" s="34"/>
      <c r="D80" s="34"/>
      <c r="E80" s="34"/>
    </row>
    <row r="81" customFormat="false" ht="31.5" hidden="false" customHeight="true" outlineLevel="0" collapsed="false">
      <c r="A81" s="31"/>
      <c r="B81" s="30"/>
      <c r="C81" s="30"/>
      <c r="D81" s="30"/>
      <c r="E81" s="30"/>
    </row>
    <row r="82" customFormat="false" ht="31.5" hidden="false" customHeight="true" outlineLevel="0" collapsed="false">
      <c r="A82" s="35"/>
      <c r="B82" s="34"/>
      <c r="C82" s="34"/>
      <c r="D82" s="34"/>
      <c r="E82" s="34"/>
    </row>
    <row r="83" customFormat="false" ht="31.5" hidden="false" customHeight="true" outlineLevel="0" collapsed="false">
      <c r="A83" s="31"/>
      <c r="B83" s="30"/>
      <c r="C83" s="30"/>
      <c r="D83" s="30"/>
      <c r="E83" s="30"/>
    </row>
    <row r="84" customFormat="false" ht="31.5" hidden="false" customHeight="true" outlineLevel="0" collapsed="false">
      <c r="A84" s="35"/>
      <c r="B84" s="34"/>
      <c r="C84" s="34"/>
      <c r="D84" s="34"/>
      <c r="E84" s="34"/>
    </row>
    <row r="85" customFormat="false" ht="31.5" hidden="false" customHeight="true" outlineLevel="0" collapsed="false">
      <c r="A85" s="31"/>
      <c r="B85" s="30"/>
      <c r="C85" s="30"/>
      <c r="D85" s="30"/>
      <c r="E85" s="30"/>
    </row>
    <row r="86" customFormat="false" ht="31.5" hidden="false" customHeight="true" outlineLevel="0" collapsed="false">
      <c r="A86" s="35"/>
      <c r="B86" s="34"/>
      <c r="C86" s="34"/>
      <c r="D86" s="34"/>
      <c r="E86" s="34"/>
    </row>
    <row r="87" customFormat="false" ht="31.5" hidden="false" customHeight="true" outlineLevel="0" collapsed="false">
      <c r="A87" s="31"/>
      <c r="B87" s="30"/>
      <c r="C87" s="30"/>
      <c r="D87" s="30"/>
      <c r="E87" s="30"/>
    </row>
    <row r="88" customFormat="false" ht="31.5" hidden="false" customHeight="true" outlineLevel="0" collapsed="false">
      <c r="A88" s="35"/>
      <c r="B88" s="34"/>
      <c r="C88" s="34"/>
      <c r="D88" s="34"/>
      <c r="E88" s="34"/>
    </row>
    <row r="89" customFormat="false" ht="31.5" hidden="false" customHeight="true" outlineLevel="0" collapsed="false">
      <c r="A89" s="31"/>
      <c r="B89" s="30"/>
      <c r="C89" s="30"/>
      <c r="D89" s="30"/>
      <c r="E89" s="30"/>
    </row>
    <row r="90" customFormat="false" ht="31.5" hidden="false" customHeight="true" outlineLevel="0" collapsed="false">
      <c r="A90" s="35"/>
      <c r="B90" s="34"/>
      <c r="C90" s="34"/>
      <c r="D90" s="34"/>
      <c r="E90" s="34"/>
    </row>
    <row r="91" customFormat="false" ht="31.5" hidden="false" customHeight="true" outlineLevel="0" collapsed="false">
      <c r="A91" s="31"/>
      <c r="B91" s="30"/>
      <c r="C91" s="30"/>
      <c r="D91" s="30"/>
      <c r="E91" s="30"/>
    </row>
    <row r="92" customFormat="false" ht="31.5" hidden="false" customHeight="true" outlineLevel="0" collapsed="false">
      <c r="A92" s="35"/>
      <c r="B92" s="34"/>
      <c r="C92" s="34"/>
      <c r="D92" s="34"/>
      <c r="E92" s="34"/>
    </row>
    <row r="93" customFormat="false" ht="31.5" hidden="false" customHeight="true" outlineLevel="0" collapsed="false">
      <c r="A93" s="31"/>
      <c r="B93" s="30"/>
      <c r="C93" s="30"/>
      <c r="D93" s="30"/>
      <c r="E93" s="30"/>
    </row>
    <row r="94" customFormat="false" ht="31.5" hidden="false" customHeight="true" outlineLevel="0" collapsed="false">
      <c r="A94" s="35"/>
      <c r="B94" s="34"/>
      <c r="C94" s="34"/>
      <c r="D94" s="34"/>
      <c r="E94" s="34"/>
    </row>
    <row r="95" customFormat="false" ht="31.5" hidden="false" customHeight="true" outlineLevel="0" collapsed="false">
      <c r="A95" s="31"/>
      <c r="B95" s="30"/>
      <c r="C95" s="30"/>
      <c r="D95" s="30"/>
      <c r="E95" s="30"/>
    </row>
    <row r="96" customFormat="false" ht="31.5" hidden="false" customHeight="true" outlineLevel="0" collapsed="false">
      <c r="A96" s="35"/>
      <c r="B96" s="34"/>
      <c r="C96" s="34"/>
      <c r="D96" s="34"/>
      <c r="E96" s="34"/>
    </row>
    <row r="97" customFormat="false" ht="31.5" hidden="false" customHeight="true" outlineLevel="0" collapsed="false">
      <c r="A97" s="31"/>
      <c r="B97" s="30"/>
      <c r="C97" s="30"/>
      <c r="D97" s="30"/>
      <c r="E97" s="30"/>
    </row>
    <row r="98" customFormat="false" ht="31.5" hidden="false" customHeight="true" outlineLevel="0" collapsed="false">
      <c r="A98" s="35"/>
      <c r="B98" s="34"/>
      <c r="C98" s="34"/>
      <c r="D98" s="34"/>
      <c r="E98" s="34"/>
    </row>
    <row r="99" customFormat="false" ht="31.5" hidden="false" customHeight="true" outlineLevel="0" collapsed="false">
      <c r="A99" s="31"/>
      <c r="B99" s="30"/>
      <c r="C99" s="30"/>
      <c r="D99" s="30"/>
      <c r="E99" s="30"/>
    </row>
    <row r="100" customFormat="false" ht="31.5" hidden="false" customHeight="true" outlineLevel="0" collapsed="false">
      <c r="A100" s="35"/>
      <c r="B100" s="34"/>
      <c r="C100" s="34"/>
      <c r="D100" s="34"/>
      <c r="E100" s="34"/>
    </row>
    <row r="101" customFormat="false" ht="31.5" hidden="false" customHeight="true" outlineLevel="0" collapsed="false">
      <c r="A101" s="31"/>
      <c r="B101" s="30"/>
      <c r="C101" s="30"/>
      <c r="D101" s="30"/>
      <c r="E101" s="30"/>
    </row>
    <row r="102" customFormat="false" ht="31.5" hidden="false" customHeight="true" outlineLevel="0" collapsed="false">
      <c r="A102" s="35"/>
      <c r="B102" s="34"/>
      <c r="C102" s="34"/>
      <c r="D102" s="34"/>
      <c r="E102" s="34"/>
    </row>
    <row r="103" customFormat="false" ht="31.5" hidden="false" customHeight="true" outlineLevel="0" collapsed="false">
      <c r="A103" s="31"/>
      <c r="B103" s="30"/>
      <c r="C103" s="30"/>
      <c r="D103" s="30"/>
      <c r="E103" s="30"/>
    </row>
    <row r="104" customFormat="false" ht="31.5" hidden="false" customHeight="true" outlineLevel="0" collapsed="false">
      <c r="A104" s="35"/>
      <c r="B104" s="34"/>
      <c r="C104" s="34"/>
      <c r="D104" s="34"/>
      <c r="E104" s="34"/>
    </row>
  </sheetData>
  <dataValidations count="1">
    <dataValidation allowBlank="true" errorStyle="stop" operator="between" prompt="Scegli dall'elenco della scheda Famiglia, oppure scrivi (es. «Tutti»)." promptTitle="Scegli o scrivi" showDropDown="false" showErrorMessage="false" showInputMessage="false" sqref="B5:B104" type="list">
      <formula1>Famiglia!$A$5:$A$34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175</v>
      </c>
      <c r="B1" s="0" t="s">
        <v>176</v>
      </c>
      <c r="C1" s="0" t="s">
        <v>177</v>
      </c>
      <c r="D1" s="0" t="s">
        <v>178</v>
      </c>
      <c r="E1" s="0" t="s">
        <v>179</v>
      </c>
      <c r="F1" s="0" t="s">
        <v>180</v>
      </c>
      <c r="H1" s="0" t="s">
        <v>181</v>
      </c>
      <c r="I1" s="0" t="s">
        <v>182</v>
      </c>
    </row>
    <row r="2" customFormat="false" ht="15" hidden="false" customHeight="false" outlineLevel="0" collapsed="false">
      <c r="A2" s="48" t="n">
        <f aca="true">IF(B2="","",IF(B2&gt;=TODAY(),B2+ROW()/100000,""))</f>
        <v>46334.00002</v>
      </c>
      <c r="B2" s="49" t="n">
        <f aca="false">IF(AND(Scadenze!E5&lt;&gt;"",Scadenze!H5&lt;&gt;"☑"),Scadenze!E5,"")</f>
        <v>46334</v>
      </c>
      <c r="C2" s="0" t="str">
        <f aca="false">IF(B2="","",Scadenze!A5)</f>
        <v>Richiamo vaccino (chiedere al pediatra quale)</v>
      </c>
      <c r="D2" s="0" t="str">
        <f aca="false">IF(B2="","",Scadenze!B5)</f>
        <v>Sofia</v>
      </c>
      <c r="E2" s="0" t="str">
        <f aca="false">IF(B2="","","Scadenza")</f>
        <v>Scadenza</v>
      </c>
      <c r="F2" s="0" t="str">
        <f aca="true">IF(B2="","",IF(B2&lt;TODAY(),B2+ROW()/100000,""))</f>
        <v/>
      </c>
      <c r="H2" s="0" t="n">
        <f aca="false">IF(COUNT($A$2:$A$901)&gt;=1,SMALL($A$2:$A$901,1),"")</f>
        <v>46319.00302</v>
      </c>
      <c r="I2" s="0" t="str">
        <f aca="false">IF(COUNT($F$2:$F$901)&gt;=1,LARGE($F$2:$F$901,1),"")</f>
        <v/>
      </c>
    </row>
    <row r="3" customFormat="false" ht="15" hidden="false" customHeight="false" outlineLevel="0" collapsed="false">
      <c r="A3" s="48" t="n">
        <f aca="true">IF(B3="","",IF(B3&gt;=TODAY(),B3+ROW()/100000,""))</f>
        <v>46334.00003</v>
      </c>
      <c r="B3" s="49" t="n">
        <f aca="false">IF(AND(Scadenze!E6&lt;&gt;"",Scadenze!H6&lt;&gt;"☑"),Scadenze!E6,"")</f>
        <v>46334</v>
      </c>
      <c r="C3" s="0" t="str">
        <f aca="false">IF(B3="","",Scadenze!A6)</f>
        <v>Retta del nido</v>
      </c>
      <c r="D3" s="0" t="str">
        <f aca="false">IF(B3="","",Scadenze!B6)</f>
        <v>Sofia</v>
      </c>
      <c r="E3" s="0" t="str">
        <f aca="false">IF(B3="","","Scadenza")</f>
        <v>Scadenza</v>
      </c>
      <c r="F3" s="0" t="str">
        <f aca="true">IF(B3="","",IF(B3&lt;TODAY(),B3+ROW()/100000,""))</f>
        <v/>
      </c>
      <c r="H3" s="0" t="n">
        <f aca="false">IF(COUNT($A$2:$A$901)&gt;=2,SMALL($A$2:$A$901,2),"")</f>
        <v>46325.00303</v>
      </c>
      <c r="I3" s="0" t="str">
        <f aca="false">IF(COUNT($F$2:$F$901)&gt;=2,LARGE($F$2:$F$901,2),"")</f>
        <v/>
      </c>
    </row>
    <row r="4" customFormat="false" ht="15" hidden="false" customHeight="false" outlineLevel="0" collapsed="false">
      <c r="A4" s="0" t="str">
        <f aca="true">IF(B4="","",IF(B4&gt;=TODAY(),B4+ROW()/100000,""))</f>
        <v/>
      </c>
      <c r="B4" s="0" t="str">
        <f aca="false">IF(AND(Scadenze!E7&lt;&gt;"",Scadenze!H7&lt;&gt;"☑"),Scadenze!E7,"")</f>
        <v/>
      </c>
      <c r="C4" s="0" t="str">
        <f aca="false">IF(B4="","",Scadenze!A7)</f>
        <v/>
      </c>
      <c r="D4" s="0" t="str">
        <f aca="false">IF(B4="","",Scadenze!B7)</f>
        <v/>
      </c>
      <c r="E4" s="0" t="str">
        <f aca="false">IF(B4="","","Scadenza")</f>
        <v/>
      </c>
      <c r="F4" s="0" t="str">
        <f aca="true">IF(B4="","",IF(B4&lt;TODAY(),B4+ROW()/100000,""))</f>
        <v/>
      </c>
      <c r="H4" s="0" t="n">
        <f aca="false">IF(COUNT($A$2:$A$901)&gt;=3,SMALL($A$2:$A$901,3),"")</f>
        <v>46334.00002</v>
      </c>
      <c r="I4" s="0" t="str">
        <f aca="false">IF(COUNT($F$2:$F$901)&gt;=3,LARGE($F$2:$F$901,3),"")</f>
        <v/>
      </c>
    </row>
    <row r="5" customFormat="false" ht="15" hidden="false" customHeight="false" outlineLevel="0" collapsed="false">
      <c r="A5" s="0" t="str">
        <f aca="true">IF(B5="","",IF(B5&gt;=TODAY(),B5+ROW()/100000,""))</f>
        <v/>
      </c>
      <c r="B5" s="0" t="str">
        <f aca="false">IF(AND(Scadenze!E8&lt;&gt;"",Scadenze!H8&lt;&gt;"☑"),Scadenze!E8,"")</f>
        <v/>
      </c>
      <c r="C5" s="0" t="str">
        <f aca="false">IF(B5="","",Scadenze!A8)</f>
        <v/>
      </c>
      <c r="D5" s="0" t="str">
        <f aca="false">IF(B5="","",Scadenze!B8)</f>
        <v/>
      </c>
      <c r="E5" s="0" t="str">
        <f aca="false">IF(B5="","","Scadenza")</f>
        <v/>
      </c>
      <c r="F5" s="0" t="str">
        <f aca="true">IF(B5="","",IF(B5&lt;TODAY(),B5+ROW()/100000,""))</f>
        <v/>
      </c>
      <c r="H5" s="0" t="n">
        <f aca="false">IF(COUNT($A$2:$A$901)&gt;=4,SMALL($A$2:$A$901,4),"")</f>
        <v>46334.00003</v>
      </c>
      <c r="I5" s="0" t="str">
        <f aca="false">IF(COUNT($F$2:$F$901)&gt;=4,LARGE($F$2:$F$901,4),"")</f>
        <v/>
      </c>
    </row>
    <row r="6" customFormat="false" ht="15" hidden="false" customHeight="false" outlineLevel="0" collapsed="false">
      <c r="A6" s="0" t="str">
        <f aca="true">IF(B6="","",IF(B6&gt;=TODAY(),B6+ROW()/100000,""))</f>
        <v/>
      </c>
      <c r="B6" s="0" t="str">
        <f aca="false">IF(AND(Scadenze!E9&lt;&gt;"",Scadenze!H9&lt;&gt;"☑"),Scadenze!E9,"")</f>
        <v/>
      </c>
      <c r="C6" s="0" t="str">
        <f aca="false">IF(B6="","",Scadenze!A9)</f>
        <v/>
      </c>
      <c r="D6" s="0" t="str">
        <f aca="false">IF(B6="","",Scadenze!B9)</f>
        <v/>
      </c>
      <c r="E6" s="0" t="str">
        <f aca="false">IF(B6="","","Scadenza")</f>
        <v/>
      </c>
      <c r="F6" s="0" t="str">
        <f aca="true">IF(B6="","",IF(B6&lt;TODAY(),B6+ROW()/100000,""))</f>
        <v/>
      </c>
      <c r="H6" s="0" t="n">
        <f aca="false">IF(COUNT($A$2:$A$901)&gt;=5,SMALL($A$2:$A$901,5),"")</f>
        <v>46353.00603</v>
      </c>
      <c r="I6" s="0" t="str">
        <f aca="false">IF(COUNT($F$2:$F$901)&gt;=5,LARGE($F$2:$F$901,5),"")</f>
        <v/>
      </c>
    </row>
    <row r="7" customFormat="false" ht="15" hidden="false" customHeight="false" outlineLevel="0" collapsed="false">
      <c r="A7" s="0" t="str">
        <f aca="true">IF(B7="","",IF(B7&gt;=TODAY(),B7+ROW()/100000,""))</f>
        <v/>
      </c>
      <c r="B7" s="0" t="str">
        <f aca="false">IF(AND(Scadenze!E10&lt;&gt;"",Scadenze!H10&lt;&gt;"☑"),Scadenze!E10,"")</f>
        <v/>
      </c>
      <c r="C7" s="0" t="str">
        <f aca="false">IF(B7="","",Scadenze!A10)</f>
        <v/>
      </c>
      <c r="D7" s="0" t="str">
        <f aca="false">IF(B7="","",Scadenze!B10)</f>
        <v/>
      </c>
      <c r="E7" s="0" t="str">
        <f aca="false">IF(B7="","","Scadenza")</f>
        <v/>
      </c>
      <c r="F7" s="0" t="str">
        <f aca="true">IF(B7="","",IF(B7&lt;TODAY(),B7+ROW()/100000,""))</f>
        <v/>
      </c>
      <c r="H7" s="0" t="str">
        <f aca="false">IF(COUNT($A$2:$A$901)&gt;=6,SMALL($A$2:$A$901,6),"")</f>
        <v/>
      </c>
    </row>
    <row r="8" customFormat="false" ht="15" hidden="false" customHeight="false" outlineLevel="0" collapsed="false">
      <c r="A8" s="0" t="str">
        <f aca="true">IF(B8="","",IF(B8&gt;=TODAY(),B8+ROW()/100000,""))</f>
        <v/>
      </c>
      <c r="B8" s="0" t="str">
        <f aca="false">IF(AND(Scadenze!E11&lt;&gt;"",Scadenze!H11&lt;&gt;"☑"),Scadenze!E11,"")</f>
        <v/>
      </c>
      <c r="C8" s="0" t="str">
        <f aca="false">IF(B8="","",Scadenze!A11)</f>
        <v/>
      </c>
      <c r="D8" s="0" t="str">
        <f aca="false">IF(B8="","",Scadenze!B11)</f>
        <v/>
      </c>
      <c r="E8" s="0" t="str">
        <f aca="false">IF(B8="","","Scadenza")</f>
        <v/>
      </c>
      <c r="F8" s="0" t="str">
        <f aca="true">IF(B8="","",IF(B8&lt;TODAY(),B8+ROW()/100000,""))</f>
        <v/>
      </c>
      <c r="H8" s="0" t="str">
        <f aca="false">IF(COUNT($A$2:$A$901)&gt;=7,SMALL($A$2:$A$901,7),"")</f>
        <v/>
      </c>
    </row>
    <row r="9" customFormat="false" ht="15" hidden="false" customHeight="false" outlineLevel="0" collapsed="false">
      <c r="A9" s="0" t="str">
        <f aca="true">IF(B9="","",IF(B9&gt;=TODAY(),B9+ROW()/100000,""))</f>
        <v/>
      </c>
      <c r="B9" s="0" t="str">
        <f aca="false">IF(AND(Scadenze!E12&lt;&gt;"",Scadenze!H12&lt;&gt;"☑"),Scadenze!E12,"")</f>
        <v/>
      </c>
      <c r="C9" s="0" t="str">
        <f aca="false">IF(B9="","",Scadenze!A12)</f>
        <v/>
      </c>
      <c r="D9" s="0" t="str">
        <f aca="false">IF(B9="","",Scadenze!B12)</f>
        <v/>
      </c>
      <c r="E9" s="0" t="str">
        <f aca="false">IF(B9="","","Scadenza")</f>
        <v/>
      </c>
      <c r="F9" s="0" t="str">
        <f aca="true">IF(B9="","",IF(B9&lt;TODAY(),B9+ROW()/100000,""))</f>
        <v/>
      </c>
      <c r="H9" s="0" t="str">
        <f aca="false">IF(COUNT($A$2:$A$901)&gt;=8,SMALL($A$2:$A$901,8),"")</f>
        <v/>
      </c>
    </row>
    <row r="10" customFormat="false" ht="15" hidden="false" customHeight="false" outlineLevel="0" collapsed="false">
      <c r="A10" s="0" t="str">
        <f aca="true">IF(B10="","",IF(B10&gt;=TODAY(),B10+ROW()/100000,""))</f>
        <v/>
      </c>
      <c r="B10" s="0" t="str">
        <f aca="false">IF(AND(Scadenze!E13&lt;&gt;"",Scadenze!H13&lt;&gt;"☑"),Scadenze!E13,"")</f>
        <v/>
      </c>
      <c r="C10" s="0" t="str">
        <f aca="false">IF(B10="","",Scadenze!A13)</f>
        <v/>
      </c>
      <c r="D10" s="0" t="str">
        <f aca="false">IF(B10="","",Scadenze!B13)</f>
        <v/>
      </c>
      <c r="E10" s="0" t="str">
        <f aca="false">IF(B10="","","Scadenza")</f>
        <v/>
      </c>
      <c r="F10" s="0" t="str">
        <f aca="true">IF(B10="","",IF(B10&lt;TODAY(),B10+ROW()/100000,""))</f>
        <v/>
      </c>
      <c r="H10" s="0" t="str">
        <f aca="false">IF(COUNT($A$2:$A$901)&gt;=9,SMALL($A$2:$A$901,9),"")</f>
        <v/>
      </c>
    </row>
    <row r="11" customFormat="false" ht="15" hidden="false" customHeight="false" outlineLevel="0" collapsed="false">
      <c r="A11" s="0" t="str">
        <f aca="true">IF(B11="","",IF(B11&gt;=TODAY(),B11+ROW()/100000,""))</f>
        <v/>
      </c>
      <c r="B11" s="0" t="str">
        <f aca="false">IF(AND(Scadenze!E14&lt;&gt;"",Scadenze!H14&lt;&gt;"☑"),Scadenze!E14,"")</f>
        <v/>
      </c>
      <c r="C11" s="0" t="str">
        <f aca="false">IF(B11="","",Scadenze!A14)</f>
        <v/>
      </c>
      <c r="D11" s="0" t="str">
        <f aca="false">IF(B11="","",Scadenze!B14)</f>
        <v/>
      </c>
      <c r="E11" s="0" t="str">
        <f aca="false">IF(B11="","","Scadenza")</f>
        <v/>
      </c>
      <c r="F11" s="0" t="str">
        <f aca="true">IF(B11="","",IF(B11&lt;TODAY(),B11+ROW()/100000,""))</f>
        <v/>
      </c>
      <c r="H11" s="0" t="str">
        <f aca="false">IF(COUNT($A$2:$A$901)&gt;=10,SMALL($A$2:$A$901,10),"")</f>
        <v/>
      </c>
    </row>
    <row r="12" customFormat="false" ht="15" hidden="false" customHeight="false" outlineLevel="0" collapsed="false">
      <c r="A12" s="0" t="str">
        <f aca="true">IF(B12="","",IF(B12&gt;=TODAY(),B12+ROW()/100000,""))</f>
        <v/>
      </c>
      <c r="B12" s="0" t="str">
        <f aca="false">IF(AND(Scadenze!E15&lt;&gt;"",Scadenze!H15&lt;&gt;"☑"),Scadenze!E15,"")</f>
        <v/>
      </c>
      <c r="C12" s="0" t="str">
        <f aca="false">IF(B12="","",Scadenze!A15)</f>
        <v/>
      </c>
      <c r="D12" s="0" t="str">
        <f aca="false">IF(B12="","",Scadenze!B15)</f>
        <v/>
      </c>
      <c r="E12" s="0" t="str">
        <f aca="false">IF(B12="","","Scadenza")</f>
        <v/>
      </c>
      <c r="F12" s="0" t="str">
        <f aca="true">IF(B12="","",IF(B12&lt;TODAY(),B12+ROW()/100000,""))</f>
        <v/>
      </c>
    </row>
    <row r="13" customFormat="false" ht="15" hidden="false" customHeight="false" outlineLevel="0" collapsed="false">
      <c r="A13" s="0" t="str">
        <f aca="true">IF(B13="","",IF(B13&gt;=TODAY(),B13+ROW()/100000,""))</f>
        <v/>
      </c>
      <c r="B13" s="0" t="str">
        <f aca="false">IF(AND(Scadenze!E16&lt;&gt;"",Scadenze!H16&lt;&gt;"☑"),Scadenze!E16,"")</f>
        <v/>
      </c>
      <c r="C13" s="0" t="str">
        <f aca="false">IF(B13="","",Scadenze!A16)</f>
        <v/>
      </c>
      <c r="D13" s="0" t="str">
        <f aca="false">IF(B13="","",Scadenze!B16)</f>
        <v/>
      </c>
      <c r="E13" s="0" t="str">
        <f aca="false">IF(B13="","","Scadenza")</f>
        <v/>
      </c>
      <c r="F13" s="0" t="str">
        <f aca="true">IF(B13="","",IF(B13&lt;TODAY(),B13+ROW()/100000,""))</f>
        <v/>
      </c>
    </row>
    <row r="14" customFormat="false" ht="15" hidden="false" customHeight="false" outlineLevel="0" collapsed="false">
      <c r="A14" s="0" t="str">
        <f aca="true">IF(B14="","",IF(B14&gt;=TODAY(),B14+ROW()/100000,""))</f>
        <v/>
      </c>
      <c r="B14" s="0" t="str">
        <f aca="false">IF(AND(Scadenze!E17&lt;&gt;"",Scadenze!H17&lt;&gt;"☑"),Scadenze!E17,"")</f>
        <v/>
      </c>
      <c r="C14" s="0" t="str">
        <f aca="false">IF(B14="","",Scadenze!A17)</f>
        <v/>
      </c>
      <c r="D14" s="0" t="str">
        <f aca="false">IF(B14="","",Scadenze!B17)</f>
        <v/>
      </c>
      <c r="E14" s="0" t="str">
        <f aca="false">IF(B14="","","Scadenza")</f>
        <v/>
      </c>
      <c r="F14" s="0" t="str">
        <f aca="true">IF(B14="","",IF(B14&lt;TODAY(),B14+ROW()/100000,""))</f>
        <v/>
      </c>
    </row>
    <row r="15" customFormat="false" ht="15" hidden="false" customHeight="false" outlineLevel="0" collapsed="false">
      <c r="A15" s="0" t="str">
        <f aca="true">IF(B15="","",IF(B15&gt;=TODAY(),B15+ROW()/100000,""))</f>
        <v/>
      </c>
      <c r="B15" s="0" t="str">
        <f aca="false">IF(AND(Scadenze!E18&lt;&gt;"",Scadenze!H18&lt;&gt;"☑"),Scadenze!E18,"")</f>
        <v/>
      </c>
      <c r="C15" s="0" t="str">
        <f aca="false">IF(B15="","",Scadenze!A18)</f>
        <v/>
      </c>
      <c r="D15" s="0" t="str">
        <f aca="false">IF(B15="","",Scadenze!B18)</f>
        <v/>
      </c>
      <c r="E15" s="0" t="str">
        <f aca="false">IF(B15="","","Scadenza")</f>
        <v/>
      </c>
      <c r="F15" s="0" t="str">
        <f aca="true">IF(B15="","",IF(B15&lt;TODAY(),B15+ROW()/100000,""))</f>
        <v/>
      </c>
    </row>
    <row r="16" customFormat="false" ht="15" hidden="false" customHeight="false" outlineLevel="0" collapsed="false">
      <c r="A16" s="0" t="str">
        <f aca="true">IF(B16="","",IF(B16&gt;=TODAY(),B16+ROW()/100000,""))</f>
        <v/>
      </c>
      <c r="B16" s="0" t="str">
        <f aca="false">IF(AND(Scadenze!E19&lt;&gt;"",Scadenze!H19&lt;&gt;"☑"),Scadenze!E19,"")</f>
        <v/>
      </c>
      <c r="C16" s="0" t="str">
        <f aca="false">IF(B16="","",Scadenze!A19)</f>
        <v/>
      </c>
      <c r="D16" s="0" t="str">
        <f aca="false">IF(B16="","",Scadenze!B19)</f>
        <v/>
      </c>
      <c r="E16" s="0" t="str">
        <f aca="false">IF(B16="","","Scadenza")</f>
        <v/>
      </c>
      <c r="F16" s="0" t="str">
        <f aca="true">IF(B16="","",IF(B16&lt;TODAY(),B16+ROW()/100000,""))</f>
        <v/>
      </c>
    </row>
    <row r="17" customFormat="false" ht="15" hidden="false" customHeight="false" outlineLevel="0" collapsed="false">
      <c r="A17" s="0" t="str">
        <f aca="true">IF(B17="","",IF(B17&gt;=TODAY(),B17+ROW()/100000,""))</f>
        <v/>
      </c>
      <c r="B17" s="0" t="str">
        <f aca="false">IF(AND(Scadenze!E20&lt;&gt;"",Scadenze!H20&lt;&gt;"☑"),Scadenze!E20,"")</f>
        <v/>
      </c>
      <c r="C17" s="0" t="str">
        <f aca="false">IF(B17="","",Scadenze!A20)</f>
        <v/>
      </c>
      <c r="D17" s="0" t="str">
        <f aca="false">IF(B17="","",Scadenze!B20)</f>
        <v/>
      </c>
      <c r="E17" s="0" t="str">
        <f aca="false">IF(B17="","","Scadenza")</f>
        <v/>
      </c>
      <c r="F17" s="0" t="str">
        <f aca="true">IF(B17="","",IF(B17&lt;TODAY(),B17+ROW()/100000,""))</f>
        <v/>
      </c>
    </row>
    <row r="18" customFormat="false" ht="15" hidden="false" customHeight="false" outlineLevel="0" collapsed="false">
      <c r="A18" s="0" t="str">
        <f aca="true">IF(B18="","",IF(B18&gt;=TODAY(),B18+ROW()/100000,""))</f>
        <v/>
      </c>
      <c r="B18" s="0" t="str">
        <f aca="false">IF(AND(Scadenze!E21&lt;&gt;"",Scadenze!H21&lt;&gt;"☑"),Scadenze!E21,"")</f>
        <v/>
      </c>
      <c r="C18" s="0" t="str">
        <f aca="false">IF(B18="","",Scadenze!A21)</f>
        <v/>
      </c>
      <c r="D18" s="0" t="str">
        <f aca="false">IF(B18="","",Scadenze!B21)</f>
        <v/>
      </c>
      <c r="E18" s="0" t="str">
        <f aca="false">IF(B18="","","Scadenza")</f>
        <v/>
      </c>
      <c r="F18" s="0" t="str">
        <f aca="true">IF(B18="","",IF(B18&lt;TODAY(),B18+ROW()/100000,""))</f>
        <v/>
      </c>
    </row>
    <row r="19" customFormat="false" ht="15" hidden="false" customHeight="false" outlineLevel="0" collapsed="false">
      <c r="A19" s="0" t="str">
        <f aca="true">IF(B19="","",IF(B19&gt;=TODAY(),B19+ROW()/100000,""))</f>
        <v/>
      </c>
      <c r="B19" s="0" t="str">
        <f aca="false">IF(AND(Scadenze!E22&lt;&gt;"",Scadenze!H22&lt;&gt;"☑"),Scadenze!E22,"")</f>
        <v/>
      </c>
      <c r="C19" s="0" t="str">
        <f aca="false">IF(B19="","",Scadenze!A22)</f>
        <v/>
      </c>
      <c r="D19" s="0" t="str">
        <f aca="false">IF(B19="","",Scadenze!B22)</f>
        <v/>
      </c>
      <c r="E19" s="0" t="str">
        <f aca="false">IF(B19="","","Scadenza")</f>
        <v/>
      </c>
      <c r="F19" s="0" t="str">
        <f aca="true">IF(B19="","",IF(B19&lt;TODAY(),B19+ROW()/100000,""))</f>
        <v/>
      </c>
    </row>
    <row r="20" customFormat="false" ht="15" hidden="false" customHeight="false" outlineLevel="0" collapsed="false">
      <c r="A20" s="0" t="str">
        <f aca="true">IF(B20="","",IF(B20&gt;=TODAY(),B20+ROW()/100000,""))</f>
        <v/>
      </c>
      <c r="B20" s="0" t="str">
        <f aca="false">IF(AND(Scadenze!E23&lt;&gt;"",Scadenze!H23&lt;&gt;"☑"),Scadenze!E23,"")</f>
        <v/>
      </c>
      <c r="C20" s="0" t="str">
        <f aca="false">IF(B20="","",Scadenze!A23)</f>
        <v/>
      </c>
      <c r="D20" s="0" t="str">
        <f aca="false">IF(B20="","",Scadenze!B23)</f>
        <v/>
      </c>
      <c r="E20" s="0" t="str">
        <f aca="false">IF(B20="","","Scadenza")</f>
        <v/>
      </c>
      <c r="F20" s="0" t="str">
        <f aca="true">IF(B20="","",IF(B20&lt;TODAY(),B20+ROW()/100000,""))</f>
        <v/>
      </c>
    </row>
    <row r="21" customFormat="false" ht="15" hidden="false" customHeight="false" outlineLevel="0" collapsed="false">
      <c r="A21" s="0" t="str">
        <f aca="true">IF(B21="","",IF(B21&gt;=TODAY(),B21+ROW()/100000,""))</f>
        <v/>
      </c>
      <c r="B21" s="0" t="str">
        <f aca="false">IF(AND(Scadenze!E24&lt;&gt;"",Scadenze!H24&lt;&gt;"☑"),Scadenze!E24,"")</f>
        <v/>
      </c>
      <c r="C21" s="0" t="str">
        <f aca="false">IF(B21="","",Scadenze!A24)</f>
        <v/>
      </c>
      <c r="D21" s="0" t="str">
        <f aca="false">IF(B21="","",Scadenze!B24)</f>
        <v/>
      </c>
      <c r="E21" s="0" t="str">
        <f aca="false">IF(B21="","","Scadenza")</f>
        <v/>
      </c>
      <c r="F21" s="0" t="str">
        <f aca="true">IF(B21="","",IF(B21&lt;TODAY(),B21+ROW()/100000,""))</f>
        <v/>
      </c>
    </row>
    <row r="22" customFormat="false" ht="15" hidden="false" customHeight="false" outlineLevel="0" collapsed="false">
      <c r="A22" s="0" t="str">
        <f aca="true">IF(B22="","",IF(B22&gt;=TODAY(),B22+ROW()/100000,""))</f>
        <v/>
      </c>
      <c r="B22" s="0" t="str">
        <f aca="false">IF(AND(Scadenze!E25&lt;&gt;"",Scadenze!H25&lt;&gt;"☑"),Scadenze!E25,"")</f>
        <v/>
      </c>
      <c r="C22" s="0" t="str">
        <f aca="false">IF(B22="","",Scadenze!A25)</f>
        <v/>
      </c>
      <c r="D22" s="0" t="str">
        <f aca="false">IF(B22="","",Scadenze!B25)</f>
        <v/>
      </c>
      <c r="E22" s="0" t="str">
        <f aca="false">IF(B22="","","Scadenza")</f>
        <v/>
      </c>
      <c r="F22" s="0" t="str">
        <f aca="true">IF(B22="","",IF(B22&lt;TODAY(),B22+ROW()/100000,""))</f>
        <v/>
      </c>
    </row>
    <row r="23" customFormat="false" ht="15" hidden="false" customHeight="false" outlineLevel="0" collapsed="false">
      <c r="A23" s="0" t="str">
        <f aca="true">IF(B23="","",IF(B23&gt;=TODAY(),B23+ROW()/100000,""))</f>
        <v/>
      </c>
      <c r="B23" s="0" t="str">
        <f aca="false">IF(AND(Scadenze!E26&lt;&gt;"",Scadenze!H26&lt;&gt;"☑"),Scadenze!E26,"")</f>
        <v/>
      </c>
      <c r="C23" s="0" t="str">
        <f aca="false">IF(B23="","",Scadenze!A26)</f>
        <v/>
      </c>
      <c r="D23" s="0" t="str">
        <f aca="false">IF(B23="","",Scadenze!B26)</f>
        <v/>
      </c>
      <c r="E23" s="0" t="str">
        <f aca="false">IF(B23="","","Scadenza")</f>
        <v/>
      </c>
      <c r="F23" s="0" t="str">
        <f aca="true">IF(B23="","",IF(B23&lt;TODAY(),B23+ROW()/100000,""))</f>
        <v/>
      </c>
    </row>
    <row r="24" customFormat="false" ht="15" hidden="false" customHeight="false" outlineLevel="0" collapsed="false">
      <c r="A24" s="0" t="str">
        <f aca="true">IF(B24="","",IF(B24&gt;=TODAY(),B24+ROW()/100000,""))</f>
        <v/>
      </c>
      <c r="B24" s="0" t="str">
        <f aca="false">IF(AND(Scadenze!E27&lt;&gt;"",Scadenze!H27&lt;&gt;"☑"),Scadenze!E27,"")</f>
        <v/>
      </c>
      <c r="C24" s="0" t="str">
        <f aca="false">IF(B24="","",Scadenze!A27)</f>
        <v/>
      </c>
      <c r="D24" s="0" t="str">
        <f aca="false">IF(B24="","",Scadenze!B27)</f>
        <v/>
      </c>
      <c r="E24" s="0" t="str">
        <f aca="false">IF(B24="","","Scadenza")</f>
        <v/>
      </c>
      <c r="F24" s="0" t="str">
        <f aca="true">IF(B24="","",IF(B24&lt;TODAY(),B24+ROW()/100000,""))</f>
        <v/>
      </c>
    </row>
    <row r="25" customFormat="false" ht="15" hidden="false" customHeight="false" outlineLevel="0" collapsed="false">
      <c r="A25" s="0" t="str">
        <f aca="true">IF(B25="","",IF(B25&gt;=TODAY(),B25+ROW()/100000,""))</f>
        <v/>
      </c>
      <c r="B25" s="0" t="str">
        <f aca="false">IF(AND(Scadenze!E28&lt;&gt;"",Scadenze!H28&lt;&gt;"☑"),Scadenze!E28,"")</f>
        <v/>
      </c>
      <c r="C25" s="0" t="str">
        <f aca="false">IF(B25="","",Scadenze!A28)</f>
        <v/>
      </c>
      <c r="D25" s="0" t="str">
        <f aca="false">IF(B25="","",Scadenze!B28)</f>
        <v/>
      </c>
      <c r="E25" s="0" t="str">
        <f aca="false">IF(B25="","","Scadenza")</f>
        <v/>
      </c>
      <c r="F25" s="0" t="str">
        <f aca="true">IF(B25="","",IF(B25&lt;TODAY(),B25+ROW()/100000,""))</f>
        <v/>
      </c>
    </row>
    <row r="26" customFormat="false" ht="15" hidden="false" customHeight="false" outlineLevel="0" collapsed="false">
      <c r="A26" s="0" t="str">
        <f aca="true">IF(B26="","",IF(B26&gt;=TODAY(),B26+ROW()/100000,""))</f>
        <v/>
      </c>
      <c r="B26" s="0" t="str">
        <f aca="false">IF(AND(Scadenze!E29&lt;&gt;"",Scadenze!H29&lt;&gt;"☑"),Scadenze!E29,"")</f>
        <v/>
      </c>
      <c r="C26" s="0" t="str">
        <f aca="false">IF(B26="","",Scadenze!A29)</f>
        <v/>
      </c>
      <c r="D26" s="0" t="str">
        <f aca="false">IF(B26="","",Scadenze!B29)</f>
        <v/>
      </c>
      <c r="E26" s="0" t="str">
        <f aca="false">IF(B26="","","Scadenza")</f>
        <v/>
      </c>
      <c r="F26" s="0" t="str">
        <f aca="true">IF(B26="","",IF(B26&lt;TODAY(),B26+ROW()/100000,""))</f>
        <v/>
      </c>
    </row>
    <row r="27" customFormat="false" ht="15" hidden="false" customHeight="false" outlineLevel="0" collapsed="false">
      <c r="A27" s="0" t="str">
        <f aca="true">IF(B27="","",IF(B27&gt;=TODAY(),B27+ROW()/100000,""))</f>
        <v/>
      </c>
      <c r="B27" s="0" t="str">
        <f aca="false">IF(AND(Scadenze!E30&lt;&gt;"",Scadenze!H30&lt;&gt;"☑"),Scadenze!E30,"")</f>
        <v/>
      </c>
      <c r="C27" s="0" t="str">
        <f aca="false">IF(B27="","",Scadenze!A30)</f>
        <v/>
      </c>
      <c r="D27" s="0" t="str">
        <f aca="false">IF(B27="","",Scadenze!B30)</f>
        <v/>
      </c>
      <c r="E27" s="0" t="str">
        <f aca="false">IF(B27="","","Scadenza")</f>
        <v/>
      </c>
      <c r="F27" s="0" t="str">
        <f aca="true">IF(B27="","",IF(B27&lt;TODAY(),B27+ROW()/100000,""))</f>
        <v/>
      </c>
    </row>
    <row r="28" customFormat="false" ht="15" hidden="false" customHeight="false" outlineLevel="0" collapsed="false">
      <c r="A28" s="0" t="str">
        <f aca="true">IF(B28="","",IF(B28&gt;=TODAY(),B28+ROW()/100000,""))</f>
        <v/>
      </c>
      <c r="B28" s="0" t="str">
        <f aca="false">IF(AND(Scadenze!E31&lt;&gt;"",Scadenze!H31&lt;&gt;"☑"),Scadenze!E31,"")</f>
        <v/>
      </c>
      <c r="C28" s="0" t="str">
        <f aca="false">IF(B28="","",Scadenze!A31)</f>
        <v/>
      </c>
      <c r="D28" s="0" t="str">
        <f aca="false">IF(B28="","",Scadenze!B31)</f>
        <v/>
      </c>
      <c r="E28" s="0" t="str">
        <f aca="false">IF(B28="","","Scadenza")</f>
        <v/>
      </c>
      <c r="F28" s="0" t="str">
        <f aca="true">IF(B28="","",IF(B28&lt;TODAY(),B28+ROW()/100000,""))</f>
        <v/>
      </c>
    </row>
    <row r="29" customFormat="false" ht="15" hidden="false" customHeight="false" outlineLevel="0" collapsed="false">
      <c r="A29" s="0" t="str">
        <f aca="true">IF(B29="","",IF(B29&gt;=TODAY(),B29+ROW()/100000,""))</f>
        <v/>
      </c>
      <c r="B29" s="0" t="str">
        <f aca="false">IF(AND(Scadenze!E32&lt;&gt;"",Scadenze!H32&lt;&gt;"☑"),Scadenze!E32,"")</f>
        <v/>
      </c>
      <c r="C29" s="0" t="str">
        <f aca="false">IF(B29="","",Scadenze!A32)</f>
        <v/>
      </c>
      <c r="D29" s="0" t="str">
        <f aca="false">IF(B29="","",Scadenze!B32)</f>
        <v/>
      </c>
      <c r="E29" s="0" t="str">
        <f aca="false">IF(B29="","","Scadenza")</f>
        <v/>
      </c>
      <c r="F29" s="0" t="str">
        <f aca="true">IF(B29="","",IF(B29&lt;TODAY(),B29+ROW()/100000,""))</f>
        <v/>
      </c>
    </row>
    <row r="30" customFormat="false" ht="15" hidden="false" customHeight="false" outlineLevel="0" collapsed="false">
      <c r="A30" s="0" t="str">
        <f aca="true">IF(B30="","",IF(B30&gt;=TODAY(),B30+ROW()/100000,""))</f>
        <v/>
      </c>
      <c r="B30" s="0" t="str">
        <f aca="false">IF(AND(Scadenze!E33&lt;&gt;"",Scadenze!H33&lt;&gt;"☑"),Scadenze!E33,"")</f>
        <v/>
      </c>
      <c r="C30" s="0" t="str">
        <f aca="false">IF(B30="","",Scadenze!A33)</f>
        <v/>
      </c>
      <c r="D30" s="0" t="str">
        <f aca="false">IF(B30="","",Scadenze!B33)</f>
        <v/>
      </c>
      <c r="E30" s="0" t="str">
        <f aca="false">IF(B30="","","Scadenza")</f>
        <v/>
      </c>
      <c r="F30" s="0" t="str">
        <f aca="true">IF(B30="","",IF(B30&lt;TODAY(),B30+ROW()/100000,""))</f>
        <v/>
      </c>
    </row>
    <row r="31" customFormat="false" ht="15" hidden="false" customHeight="false" outlineLevel="0" collapsed="false">
      <c r="A31" s="0" t="str">
        <f aca="true">IF(B31="","",IF(B31&gt;=TODAY(),B31+ROW()/100000,""))</f>
        <v/>
      </c>
      <c r="B31" s="0" t="str">
        <f aca="false">IF(AND(Scadenze!E34&lt;&gt;"",Scadenze!H34&lt;&gt;"☑"),Scadenze!E34,"")</f>
        <v/>
      </c>
      <c r="C31" s="0" t="str">
        <f aca="false">IF(B31="","",Scadenze!A34)</f>
        <v/>
      </c>
      <c r="D31" s="0" t="str">
        <f aca="false">IF(B31="","",Scadenze!B34)</f>
        <v/>
      </c>
      <c r="E31" s="0" t="str">
        <f aca="false">IF(B31="","","Scadenza")</f>
        <v/>
      </c>
      <c r="F31" s="0" t="str">
        <f aca="true">IF(B31="","",IF(B31&lt;TODAY(),B31+ROW()/100000,""))</f>
        <v/>
      </c>
    </row>
    <row r="32" customFormat="false" ht="15" hidden="false" customHeight="false" outlineLevel="0" collapsed="false">
      <c r="A32" s="0" t="str">
        <f aca="true">IF(B32="","",IF(B32&gt;=TODAY(),B32+ROW()/100000,""))</f>
        <v/>
      </c>
      <c r="B32" s="0" t="str">
        <f aca="false">IF(AND(Scadenze!E35&lt;&gt;"",Scadenze!H35&lt;&gt;"☑"),Scadenze!E35,"")</f>
        <v/>
      </c>
      <c r="C32" s="0" t="str">
        <f aca="false">IF(B32="","",Scadenze!A35)</f>
        <v/>
      </c>
      <c r="D32" s="0" t="str">
        <f aca="false">IF(B32="","",Scadenze!B35)</f>
        <v/>
      </c>
      <c r="E32" s="0" t="str">
        <f aca="false">IF(B32="","","Scadenza")</f>
        <v/>
      </c>
      <c r="F32" s="0" t="str">
        <f aca="true">IF(B32="","",IF(B32&lt;TODAY(),B32+ROW()/100000,""))</f>
        <v/>
      </c>
    </row>
    <row r="33" customFormat="false" ht="15" hidden="false" customHeight="false" outlineLevel="0" collapsed="false">
      <c r="A33" s="0" t="str">
        <f aca="true">IF(B33="","",IF(B33&gt;=TODAY(),B33+ROW()/100000,""))</f>
        <v/>
      </c>
      <c r="B33" s="0" t="str">
        <f aca="false">IF(AND(Scadenze!E36&lt;&gt;"",Scadenze!H36&lt;&gt;"☑"),Scadenze!E36,"")</f>
        <v/>
      </c>
      <c r="C33" s="0" t="str">
        <f aca="false">IF(B33="","",Scadenze!A36)</f>
        <v/>
      </c>
      <c r="D33" s="0" t="str">
        <f aca="false">IF(B33="","",Scadenze!B36)</f>
        <v/>
      </c>
      <c r="E33" s="0" t="str">
        <f aca="false">IF(B33="","","Scadenza")</f>
        <v/>
      </c>
      <c r="F33" s="0" t="str">
        <f aca="true">IF(B33="","",IF(B33&lt;TODAY(),B33+ROW()/100000,""))</f>
        <v/>
      </c>
    </row>
    <row r="34" customFormat="false" ht="15" hidden="false" customHeight="false" outlineLevel="0" collapsed="false">
      <c r="A34" s="0" t="str">
        <f aca="true">IF(B34="","",IF(B34&gt;=TODAY(),B34+ROW()/100000,""))</f>
        <v/>
      </c>
      <c r="B34" s="0" t="str">
        <f aca="false">IF(AND(Scadenze!E37&lt;&gt;"",Scadenze!H37&lt;&gt;"☑"),Scadenze!E37,"")</f>
        <v/>
      </c>
      <c r="C34" s="0" t="str">
        <f aca="false">IF(B34="","",Scadenze!A37)</f>
        <v/>
      </c>
      <c r="D34" s="0" t="str">
        <f aca="false">IF(B34="","",Scadenze!B37)</f>
        <v/>
      </c>
      <c r="E34" s="0" t="str">
        <f aca="false">IF(B34="","","Scadenza")</f>
        <v/>
      </c>
      <c r="F34" s="0" t="str">
        <f aca="true">IF(B34="","",IF(B34&lt;TODAY(),B34+ROW()/100000,""))</f>
        <v/>
      </c>
    </row>
    <row r="35" customFormat="false" ht="15" hidden="false" customHeight="false" outlineLevel="0" collapsed="false">
      <c r="A35" s="0" t="str">
        <f aca="true">IF(B35="","",IF(B35&gt;=TODAY(),B35+ROW()/100000,""))</f>
        <v/>
      </c>
      <c r="B35" s="0" t="str">
        <f aca="false">IF(AND(Scadenze!E38&lt;&gt;"",Scadenze!H38&lt;&gt;"☑"),Scadenze!E38,"")</f>
        <v/>
      </c>
      <c r="C35" s="0" t="str">
        <f aca="false">IF(B35="","",Scadenze!A38)</f>
        <v/>
      </c>
      <c r="D35" s="0" t="str">
        <f aca="false">IF(B35="","",Scadenze!B38)</f>
        <v/>
      </c>
      <c r="E35" s="0" t="str">
        <f aca="false">IF(B35="","","Scadenza")</f>
        <v/>
      </c>
      <c r="F35" s="0" t="str">
        <f aca="true">IF(B35="","",IF(B35&lt;TODAY(),B35+ROW()/100000,""))</f>
        <v/>
      </c>
    </row>
    <row r="36" customFormat="false" ht="15" hidden="false" customHeight="false" outlineLevel="0" collapsed="false">
      <c r="A36" s="0" t="str">
        <f aca="true">IF(B36="","",IF(B36&gt;=TODAY(),B36+ROW()/100000,""))</f>
        <v/>
      </c>
      <c r="B36" s="0" t="str">
        <f aca="false">IF(AND(Scadenze!E39&lt;&gt;"",Scadenze!H39&lt;&gt;"☑"),Scadenze!E39,"")</f>
        <v/>
      </c>
      <c r="C36" s="0" t="str">
        <f aca="false">IF(B36="","",Scadenze!A39)</f>
        <v/>
      </c>
      <c r="D36" s="0" t="str">
        <f aca="false">IF(B36="","",Scadenze!B39)</f>
        <v/>
      </c>
      <c r="E36" s="0" t="str">
        <f aca="false">IF(B36="","","Scadenza")</f>
        <v/>
      </c>
      <c r="F36" s="0" t="str">
        <f aca="true">IF(B36="","",IF(B36&lt;TODAY(),B36+ROW()/100000,""))</f>
        <v/>
      </c>
    </row>
    <row r="37" customFormat="false" ht="15" hidden="false" customHeight="false" outlineLevel="0" collapsed="false">
      <c r="A37" s="0" t="str">
        <f aca="true">IF(B37="","",IF(B37&gt;=TODAY(),B37+ROW()/100000,""))</f>
        <v/>
      </c>
      <c r="B37" s="0" t="str">
        <f aca="false">IF(AND(Scadenze!E40&lt;&gt;"",Scadenze!H40&lt;&gt;"☑"),Scadenze!E40,"")</f>
        <v/>
      </c>
      <c r="C37" s="0" t="str">
        <f aca="false">IF(B37="","",Scadenze!A40)</f>
        <v/>
      </c>
      <c r="D37" s="0" t="str">
        <f aca="false">IF(B37="","",Scadenze!B40)</f>
        <v/>
      </c>
      <c r="E37" s="0" t="str">
        <f aca="false">IF(B37="","","Scadenza")</f>
        <v/>
      </c>
      <c r="F37" s="0" t="str">
        <f aca="true">IF(B37="","",IF(B37&lt;TODAY(),B37+ROW()/100000,""))</f>
        <v/>
      </c>
    </row>
    <row r="38" customFormat="false" ht="15" hidden="false" customHeight="false" outlineLevel="0" collapsed="false">
      <c r="A38" s="0" t="str">
        <f aca="true">IF(B38="","",IF(B38&gt;=TODAY(),B38+ROW()/100000,""))</f>
        <v/>
      </c>
      <c r="B38" s="0" t="str">
        <f aca="false">IF(AND(Scadenze!E41&lt;&gt;"",Scadenze!H41&lt;&gt;"☑"),Scadenze!E41,"")</f>
        <v/>
      </c>
      <c r="C38" s="0" t="str">
        <f aca="false">IF(B38="","",Scadenze!A41)</f>
        <v/>
      </c>
      <c r="D38" s="0" t="str">
        <f aca="false">IF(B38="","",Scadenze!B41)</f>
        <v/>
      </c>
      <c r="E38" s="0" t="str">
        <f aca="false">IF(B38="","","Scadenza")</f>
        <v/>
      </c>
      <c r="F38" s="0" t="str">
        <f aca="true">IF(B38="","",IF(B38&lt;TODAY(),B38+ROW()/100000,""))</f>
        <v/>
      </c>
    </row>
    <row r="39" customFormat="false" ht="15" hidden="false" customHeight="false" outlineLevel="0" collapsed="false">
      <c r="A39" s="0" t="str">
        <f aca="true">IF(B39="","",IF(B39&gt;=TODAY(),B39+ROW()/100000,""))</f>
        <v/>
      </c>
      <c r="B39" s="0" t="str">
        <f aca="false">IF(AND(Scadenze!E42&lt;&gt;"",Scadenze!H42&lt;&gt;"☑"),Scadenze!E42,"")</f>
        <v/>
      </c>
      <c r="C39" s="0" t="str">
        <f aca="false">IF(B39="","",Scadenze!A42)</f>
        <v/>
      </c>
      <c r="D39" s="0" t="str">
        <f aca="false">IF(B39="","",Scadenze!B42)</f>
        <v/>
      </c>
      <c r="E39" s="0" t="str">
        <f aca="false">IF(B39="","","Scadenza")</f>
        <v/>
      </c>
      <c r="F39" s="0" t="str">
        <f aca="true">IF(B39="","",IF(B39&lt;TODAY(),B39+ROW()/100000,""))</f>
        <v/>
      </c>
    </row>
    <row r="40" customFormat="false" ht="15" hidden="false" customHeight="false" outlineLevel="0" collapsed="false">
      <c r="A40" s="0" t="str">
        <f aca="true">IF(B40="","",IF(B40&gt;=TODAY(),B40+ROW()/100000,""))</f>
        <v/>
      </c>
      <c r="B40" s="0" t="str">
        <f aca="false">IF(AND(Scadenze!E43&lt;&gt;"",Scadenze!H43&lt;&gt;"☑"),Scadenze!E43,"")</f>
        <v/>
      </c>
      <c r="C40" s="0" t="str">
        <f aca="false">IF(B40="","",Scadenze!A43)</f>
        <v/>
      </c>
      <c r="D40" s="0" t="str">
        <f aca="false">IF(B40="","",Scadenze!B43)</f>
        <v/>
      </c>
      <c r="E40" s="0" t="str">
        <f aca="false">IF(B40="","","Scadenza")</f>
        <v/>
      </c>
      <c r="F40" s="0" t="str">
        <f aca="true">IF(B40="","",IF(B40&lt;TODAY(),B40+ROW()/100000,""))</f>
        <v/>
      </c>
    </row>
    <row r="41" customFormat="false" ht="15" hidden="false" customHeight="false" outlineLevel="0" collapsed="false">
      <c r="A41" s="0" t="str">
        <f aca="true">IF(B41="","",IF(B41&gt;=TODAY(),B41+ROW()/100000,""))</f>
        <v/>
      </c>
      <c r="B41" s="0" t="str">
        <f aca="false">IF(AND(Scadenze!E44&lt;&gt;"",Scadenze!H44&lt;&gt;"☑"),Scadenze!E44,"")</f>
        <v/>
      </c>
      <c r="C41" s="0" t="str">
        <f aca="false">IF(B41="","",Scadenze!A44)</f>
        <v/>
      </c>
      <c r="D41" s="0" t="str">
        <f aca="false">IF(B41="","",Scadenze!B44)</f>
        <v/>
      </c>
      <c r="E41" s="0" t="str">
        <f aca="false">IF(B41="","","Scadenza")</f>
        <v/>
      </c>
      <c r="F41" s="0" t="str">
        <f aca="true">IF(B41="","",IF(B41&lt;TODAY(),B41+ROW()/100000,""))</f>
        <v/>
      </c>
    </row>
    <row r="42" customFormat="false" ht="15" hidden="false" customHeight="false" outlineLevel="0" collapsed="false">
      <c r="A42" s="0" t="str">
        <f aca="true">IF(B42="","",IF(B42&gt;=TODAY(),B42+ROW()/100000,""))</f>
        <v/>
      </c>
      <c r="B42" s="0" t="str">
        <f aca="false">IF(AND(Scadenze!E45&lt;&gt;"",Scadenze!H45&lt;&gt;"☑"),Scadenze!E45,"")</f>
        <v/>
      </c>
      <c r="C42" s="0" t="str">
        <f aca="false">IF(B42="","",Scadenze!A45)</f>
        <v/>
      </c>
      <c r="D42" s="0" t="str">
        <f aca="false">IF(B42="","",Scadenze!B45)</f>
        <v/>
      </c>
      <c r="E42" s="0" t="str">
        <f aca="false">IF(B42="","","Scadenza")</f>
        <v/>
      </c>
      <c r="F42" s="0" t="str">
        <f aca="true">IF(B42="","",IF(B42&lt;TODAY(),B42+ROW()/100000,""))</f>
        <v/>
      </c>
    </row>
    <row r="43" customFormat="false" ht="15" hidden="false" customHeight="false" outlineLevel="0" collapsed="false">
      <c r="A43" s="0" t="str">
        <f aca="true">IF(B43="","",IF(B43&gt;=TODAY(),B43+ROW()/100000,""))</f>
        <v/>
      </c>
      <c r="B43" s="0" t="str">
        <f aca="false">IF(AND(Scadenze!E46&lt;&gt;"",Scadenze!H46&lt;&gt;"☑"),Scadenze!E46,"")</f>
        <v/>
      </c>
      <c r="C43" s="0" t="str">
        <f aca="false">IF(B43="","",Scadenze!A46)</f>
        <v/>
      </c>
      <c r="D43" s="0" t="str">
        <f aca="false">IF(B43="","",Scadenze!B46)</f>
        <v/>
      </c>
      <c r="E43" s="0" t="str">
        <f aca="false">IF(B43="","","Scadenza")</f>
        <v/>
      </c>
      <c r="F43" s="0" t="str">
        <f aca="true">IF(B43="","",IF(B43&lt;TODAY(),B43+ROW()/100000,""))</f>
        <v/>
      </c>
    </row>
    <row r="44" customFormat="false" ht="15" hidden="false" customHeight="false" outlineLevel="0" collapsed="false">
      <c r="A44" s="0" t="str">
        <f aca="true">IF(B44="","",IF(B44&gt;=TODAY(),B44+ROW()/100000,""))</f>
        <v/>
      </c>
      <c r="B44" s="0" t="str">
        <f aca="false">IF(AND(Scadenze!E47&lt;&gt;"",Scadenze!H47&lt;&gt;"☑"),Scadenze!E47,"")</f>
        <v/>
      </c>
      <c r="C44" s="0" t="str">
        <f aca="false">IF(B44="","",Scadenze!A47)</f>
        <v/>
      </c>
      <c r="D44" s="0" t="str">
        <f aca="false">IF(B44="","",Scadenze!B47)</f>
        <v/>
      </c>
      <c r="E44" s="0" t="str">
        <f aca="false">IF(B44="","","Scadenza")</f>
        <v/>
      </c>
      <c r="F44" s="0" t="str">
        <f aca="true">IF(B44="","",IF(B44&lt;TODAY(),B44+ROW()/100000,""))</f>
        <v/>
      </c>
    </row>
    <row r="45" customFormat="false" ht="15" hidden="false" customHeight="false" outlineLevel="0" collapsed="false">
      <c r="A45" s="0" t="str">
        <f aca="true">IF(B45="","",IF(B45&gt;=TODAY(),B45+ROW()/100000,""))</f>
        <v/>
      </c>
      <c r="B45" s="0" t="str">
        <f aca="false">IF(AND(Scadenze!E48&lt;&gt;"",Scadenze!H48&lt;&gt;"☑"),Scadenze!E48,"")</f>
        <v/>
      </c>
      <c r="C45" s="0" t="str">
        <f aca="false">IF(B45="","",Scadenze!A48)</f>
        <v/>
      </c>
      <c r="D45" s="0" t="str">
        <f aca="false">IF(B45="","",Scadenze!B48)</f>
        <v/>
      </c>
      <c r="E45" s="0" t="str">
        <f aca="false">IF(B45="","","Scadenza")</f>
        <v/>
      </c>
      <c r="F45" s="0" t="str">
        <f aca="true">IF(B45="","",IF(B45&lt;TODAY(),B45+ROW()/100000,""))</f>
        <v/>
      </c>
    </row>
    <row r="46" customFormat="false" ht="15" hidden="false" customHeight="false" outlineLevel="0" collapsed="false">
      <c r="A46" s="0" t="str">
        <f aca="true">IF(B46="","",IF(B46&gt;=TODAY(),B46+ROW()/100000,""))</f>
        <v/>
      </c>
      <c r="B46" s="0" t="str">
        <f aca="false">IF(AND(Scadenze!E49&lt;&gt;"",Scadenze!H49&lt;&gt;"☑"),Scadenze!E49,"")</f>
        <v/>
      </c>
      <c r="C46" s="0" t="str">
        <f aca="false">IF(B46="","",Scadenze!A49)</f>
        <v/>
      </c>
      <c r="D46" s="0" t="str">
        <f aca="false">IF(B46="","",Scadenze!B49)</f>
        <v/>
      </c>
      <c r="E46" s="0" t="str">
        <f aca="false">IF(B46="","","Scadenza")</f>
        <v/>
      </c>
      <c r="F46" s="0" t="str">
        <f aca="true">IF(B46="","",IF(B46&lt;TODAY(),B46+ROW()/100000,""))</f>
        <v/>
      </c>
    </row>
    <row r="47" customFormat="false" ht="15" hidden="false" customHeight="false" outlineLevel="0" collapsed="false">
      <c r="A47" s="0" t="str">
        <f aca="true">IF(B47="","",IF(B47&gt;=TODAY(),B47+ROW()/100000,""))</f>
        <v/>
      </c>
      <c r="B47" s="0" t="str">
        <f aca="false">IF(AND(Scadenze!E50&lt;&gt;"",Scadenze!H50&lt;&gt;"☑"),Scadenze!E50,"")</f>
        <v/>
      </c>
      <c r="C47" s="0" t="str">
        <f aca="false">IF(B47="","",Scadenze!A50)</f>
        <v/>
      </c>
      <c r="D47" s="0" t="str">
        <f aca="false">IF(B47="","",Scadenze!B50)</f>
        <v/>
      </c>
      <c r="E47" s="0" t="str">
        <f aca="false">IF(B47="","","Scadenza")</f>
        <v/>
      </c>
      <c r="F47" s="0" t="str">
        <f aca="true">IF(B47="","",IF(B47&lt;TODAY(),B47+ROW()/100000,""))</f>
        <v/>
      </c>
    </row>
    <row r="48" customFormat="false" ht="15" hidden="false" customHeight="false" outlineLevel="0" collapsed="false">
      <c r="A48" s="0" t="str">
        <f aca="true">IF(B48="","",IF(B48&gt;=TODAY(),B48+ROW()/100000,""))</f>
        <v/>
      </c>
      <c r="B48" s="0" t="str">
        <f aca="false">IF(AND(Scadenze!E51&lt;&gt;"",Scadenze!H51&lt;&gt;"☑"),Scadenze!E51,"")</f>
        <v/>
      </c>
      <c r="C48" s="0" t="str">
        <f aca="false">IF(B48="","",Scadenze!A51)</f>
        <v/>
      </c>
      <c r="D48" s="0" t="str">
        <f aca="false">IF(B48="","",Scadenze!B51)</f>
        <v/>
      </c>
      <c r="E48" s="0" t="str">
        <f aca="false">IF(B48="","","Scadenza")</f>
        <v/>
      </c>
      <c r="F48" s="0" t="str">
        <f aca="true">IF(B48="","",IF(B48&lt;TODAY(),B48+ROW()/100000,""))</f>
        <v/>
      </c>
    </row>
    <row r="49" customFormat="false" ht="15" hidden="false" customHeight="false" outlineLevel="0" collapsed="false">
      <c r="A49" s="0" t="str">
        <f aca="true">IF(B49="","",IF(B49&gt;=TODAY(),B49+ROW()/100000,""))</f>
        <v/>
      </c>
      <c r="B49" s="0" t="str">
        <f aca="false">IF(AND(Scadenze!E52&lt;&gt;"",Scadenze!H52&lt;&gt;"☑"),Scadenze!E52,"")</f>
        <v/>
      </c>
      <c r="C49" s="0" t="str">
        <f aca="false">IF(B49="","",Scadenze!A52)</f>
        <v/>
      </c>
      <c r="D49" s="0" t="str">
        <f aca="false">IF(B49="","",Scadenze!B52)</f>
        <v/>
      </c>
      <c r="E49" s="0" t="str">
        <f aca="false">IF(B49="","","Scadenza")</f>
        <v/>
      </c>
      <c r="F49" s="0" t="str">
        <f aca="true">IF(B49="","",IF(B49&lt;TODAY(),B49+ROW()/100000,""))</f>
        <v/>
      </c>
    </row>
    <row r="50" customFormat="false" ht="15" hidden="false" customHeight="false" outlineLevel="0" collapsed="false">
      <c r="A50" s="0" t="str">
        <f aca="true">IF(B50="","",IF(B50&gt;=TODAY(),B50+ROW()/100000,""))</f>
        <v/>
      </c>
      <c r="B50" s="0" t="str">
        <f aca="false">IF(AND(Scadenze!E53&lt;&gt;"",Scadenze!H53&lt;&gt;"☑"),Scadenze!E53,"")</f>
        <v/>
      </c>
      <c r="C50" s="0" t="str">
        <f aca="false">IF(B50="","",Scadenze!A53)</f>
        <v/>
      </c>
      <c r="D50" s="0" t="str">
        <f aca="false">IF(B50="","",Scadenze!B53)</f>
        <v/>
      </c>
      <c r="E50" s="0" t="str">
        <f aca="false">IF(B50="","","Scadenza")</f>
        <v/>
      </c>
      <c r="F50" s="0" t="str">
        <f aca="true">IF(B50="","",IF(B50&lt;TODAY(),B50+ROW()/100000,""))</f>
        <v/>
      </c>
    </row>
    <row r="51" customFormat="false" ht="15" hidden="false" customHeight="false" outlineLevel="0" collapsed="false">
      <c r="A51" s="0" t="str">
        <f aca="true">IF(B51="","",IF(B51&gt;=TODAY(),B51+ROW()/100000,""))</f>
        <v/>
      </c>
      <c r="B51" s="0" t="str">
        <f aca="false">IF(AND(Scadenze!E54&lt;&gt;"",Scadenze!H54&lt;&gt;"☑"),Scadenze!E54,"")</f>
        <v/>
      </c>
      <c r="C51" s="0" t="str">
        <f aca="false">IF(B51="","",Scadenze!A54)</f>
        <v/>
      </c>
      <c r="D51" s="0" t="str">
        <f aca="false">IF(B51="","",Scadenze!B54)</f>
        <v/>
      </c>
      <c r="E51" s="0" t="str">
        <f aca="false">IF(B51="","","Scadenza")</f>
        <v/>
      </c>
      <c r="F51" s="0" t="str">
        <f aca="true">IF(B51="","",IF(B51&lt;TODAY(),B51+ROW()/100000,""))</f>
        <v/>
      </c>
    </row>
    <row r="52" customFormat="false" ht="15" hidden="false" customHeight="false" outlineLevel="0" collapsed="false">
      <c r="A52" s="0" t="str">
        <f aca="true">IF(B52="","",IF(B52&gt;=TODAY(),B52+ROW()/100000,""))</f>
        <v/>
      </c>
      <c r="B52" s="0" t="str">
        <f aca="false">IF(AND(Scadenze!E55&lt;&gt;"",Scadenze!H55&lt;&gt;"☑"),Scadenze!E55,"")</f>
        <v/>
      </c>
      <c r="C52" s="0" t="str">
        <f aca="false">IF(B52="","",Scadenze!A55)</f>
        <v/>
      </c>
      <c r="D52" s="0" t="str">
        <f aca="false">IF(B52="","",Scadenze!B55)</f>
        <v/>
      </c>
      <c r="E52" s="0" t="str">
        <f aca="false">IF(B52="","","Scadenza")</f>
        <v/>
      </c>
      <c r="F52" s="0" t="str">
        <f aca="true">IF(B52="","",IF(B52&lt;TODAY(),B52+ROW()/100000,""))</f>
        <v/>
      </c>
    </row>
    <row r="53" customFormat="false" ht="15" hidden="false" customHeight="false" outlineLevel="0" collapsed="false">
      <c r="A53" s="0" t="str">
        <f aca="true">IF(B53="","",IF(B53&gt;=TODAY(),B53+ROW()/100000,""))</f>
        <v/>
      </c>
      <c r="B53" s="0" t="str">
        <f aca="false">IF(AND(Scadenze!E56&lt;&gt;"",Scadenze!H56&lt;&gt;"☑"),Scadenze!E56,"")</f>
        <v/>
      </c>
      <c r="C53" s="0" t="str">
        <f aca="false">IF(B53="","",Scadenze!A56)</f>
        <v/>
      </c>
      <c r="D53" s="0" t="str">
        <f aca="false">IF(B53="","",Scadenze!B56)</f>
        <v/>
      </c>
      <c r="E53" s="0" t="str">
        <f aca="false">IF(B53="","","Scadenza")</f>
        <v/>
      </c>
      <c r="F53" s="0" t="str">
        <f aca="true">IF(B53="","",IF(B53&lt;TODAY(),B53+ROW()/100000,""))</f>
        <v/>
      </c>
    </row>
    <row r="54" customFormat="false" ht="15" hidden="false" customHeight="false" outlineLevel="0" collapsed="false">
      <c r="A54" s="0" t="str">
        <f aca="true">IF(B54="","",IF(B54&gt;=TODAY(),B54+ROW()/100000,""))</f>
        <v/>
      </c>
      <c r="B54" s="0" t="str">
        <f aca="false">IF(AND(Scadenze!E57&lt;&gt;"",Scadenze!H57&lt;&gt;"☑"),Scadenze!E57,"")</f>
        <v/>
      </c>
      <c r="C54" s="0" t="str">
        <f aca="false">IF(B54="","",Scadenze!A57)</f>
        <v/>
      </c>
      <c r="D54" s="0" t="str">
        <f aca="false">IF(B54="","",Scadenze!B57)</f>
        <v/>
      </c>
      <c r="E54" s="0" t="str">
        <f aca="false">IF(B54="","","Scadenza")</f>
        <v/>
      </c>
      <c r="F54" s="0" t="str">
        <f aca="true">IF(B54="","",IF(B54&lt;TODAY(),B54+ROW()/100000,""))</f>
        <v/>
      </c>
    </row>
    <row r="55" customFormat="false" ht="15" hidden="false" customHeight="false" outlineLevel="0" collapsed="false">
      <c r="A55" s="0" t="str">
        <f aca="true">IF(B55="","",IF(B55&gt;=TODAY(),B55+ROW()/100000,""))</f>
        <v/>
      </c>
      <c r="B55" s="0" t="str">
        <f aca="false">IF(AND(Scadenze!E58&lt;&gt;"",Scadenze!H58&lt;&gt;"☑"),Scadenze!E58,"")</f>
        <v/>
      </c>
      <c r="C55" s="0" t="str">
        <f aca="false">IF(B55="","",Scadenze!A58)</f>
        <v/>
      </c>
      <c r="D55" s="0" t="str">
        <f aca="false">IF(B55="","",Scadenze!B58)</f>
        <v/>
      </c>
      <c r="E55" s="0" t="str">
        <f aca="false">IF(B55="","","Scadenza")</f>
        <v/>
      </c>
      <c r="F55" s="0" t="str">
        <f aca="true">IF(B55="","",IF(B55&lt;TODAY(),B55+ROW()/100000,""))</f>
        <v/>
      </c>
    </row>
    <row r="56" customFormat="false" ht="15" hidden="false" customHeight="false" outlineLevel="0" collapsed="false">
      <c r="A56" s="0" t="str">
        <f aca="true">IF(B56="","",IF(B56&gt;=TODAY(),B56+ROW()/100000,""))</f>
        <v/>
      </c>
      <c r="B56" s="0" t="str">
        <f aca="false">IF(AND(Scadenze!E59&lt;&gt;"",Scadenze!H59&lt;&gt;"☑"),Scadenze!E59,"")</f>
        <v/>
      </c>
      <c r="C56" s="0" t="str">
        <f aca="false">IF(B56="","",Scadenze!A59)</f>
        <v/>
      </c>
      <c r="D56" s="0" t="str">
        <f aca="false">IF(B56="","",Scadenze!B59)</f>
        <v/>
      </c>
      <c r="E56" s="0" t="str">
        <f aca="false">IF(B56="","","Scadenza")</f>
        <v/>
      </c>
      <c r="F56" s="0" t="str">
        <f aca="true">IF(B56="","",IF(B56&lt;TODAY(),B56+ROW()/100000,""))</f>
        <v/>
      </c>
    </row>
    <row r="57" customFormat="false" ht="15" hidden="false" customHeight="false" outlineLevel="0" collapsed="false">
      <c r="A57" s="0" t="str">
        <f aca="true">IF(B57="","",IF(B57&gt;=TODAY(),B57+ROW()/100000,""))</f>
        <v/>
      </c>
      <c r="B57" s="0" t="str">
        <f aca="false">IF(AND(Scadenze!E60&lt;&gt;"",Scadenze!H60&lt;&gt;"☑"),Scadenze!E60,"")</f>
        <v/>
      </c>
      <c r="C57" s="0" t="str">
        <f aca="false">IF(B57="","",Scadenze!A60)</f>
        <v/>
      </c>
      <c r="D57" s="0" t="str">
        <f aca="false">IF(B57="","",Scadenze!B60)</f>
        <v/>
      </c>
      <c r="E57" s="0" t="str">
        <f aca="false">IF(B57="","","Scadenza")</f>
        <v/>
      </c>
      <c r="F57" s="0" t="str">
        <f aca="true">IF(B57="","",IF(B57&lt;TODAY(),B57+ROW()/100000,""))</f>
        <v/>
      </c>
    </row>
    <row r="58" customFormat="false" ht="15" hidden="false" customHeight="false" outlineLevel="0" collapsed="false">
      <c r="A58" s="0" t="str">
        <f aca="true">IF(B58="","",IF(B58&gt;=TODAY(),B58+ROW()/100000,""))</f>
        <v/>
      </c>
      <c r="B58" s="0" t="str">
        <f aca="false">IF(AND(Scadenze!E61&lt;&gt;"",Scadenze!H61&lt;&gt;"☑"),Scadenze!E61,"")</f>
        <v/>
      </c>
      <c r="C58" s="0" t="str">
        <f aca="false">IF(B58="","",Scadenze!A61)</f>
        <v/>
      </c>
      <c r="D58" s="0" t="str">
        <f aca="false">IF(B58="","",Scadenze!B61)</f>
        <v/>
      </c>
      <c r="E58" s="0" t="str">
        <f aca="false">IF(B58="","","Scadenza")</f>
        <v/>
      </c>
      <c r="F58" s="0" t="str">
        <f aca="true">IF(B58="","",IF(B58&lt;TODAY(),B58+ROW()/100000,""))</f>
        <v/>
      </c>
    </row>
    <row r="59" customFormat="false" ht="15" hidden="false" customHeight="false" outlineLevel="0" collapsed="false">
      <c r="A59" s="0" t="str">
        <f aca="true">IF(B59="","",IF(B59&gt;=TODAY(),B59+ROW()/100000,""))</f>
        <v/>
      </c>
      <c r="B59" s="0" t="str">
        <f aca="false">IF(AND(Scadenze!E62&lt;&gt;"",Scadenze!H62&lt;&gt;"☑"),Scadenze!E62,"")</f>
        <v/>
      </c>
      <c r="C59" s="0" t="str">
        <f aca="false">IF(B59="","",Scadenze!A62)</f>
        <v/>
      </c>
      <c r="D59" s="0" t="str">
        <f aca="false">IF(B59="","",Scadenze!B62)</f>
        <v/>
      </c>
      <c r="E59" s="0" t="str">
        <f aca="false">IF(B59="","","Scadenza")</f>
        <v/>
      </c>
      <c r="F59" s="0" t="str">
        <f aca="true">IF(B59="","",IF(B59&lt;TODAY(),B59+ROW()/100000,""))</f>
        <v/>
      </c>
    </row>
    <row r="60" customFormat="false" ht="15" hidden="false" customHeight="false" outlineLevel="0" collapsed="false">
      <c r="A60" s="0" t="str">
        <f aca="true">IF(B60="","",IF(B60&gt;=TODAY(),B60+ROW()/100000,""))</f>
        <v/>
      </c>
      <c r="B60" s="0" t="str">
        <f aca="false">IF(AND(Scadenze!E63&lt;&gt;"",Scadenze!H63&lt;&gt;"☑"),Scadenze!E63,"")</f>
        <v/>
      </c>
      <c r="C60" s="0" t="str">
        <f aca="false">IF(B60="","",Scadenze!A63)</f>
        <v/>
      </c>
      <c r="D60" s="0" t="str">
        <f aca="false">IF(B60="","",Scadenze!B63)</f>
        <v/>
      </c>
      <c r="E60" s="0" t="str">
        <f aca="false">IF(B60="","","Scadenza")</f>
        <v/>
      </c>
      <c r="F60" s="0" t="str">
        <f aca="true">IF(B60="","",IF(B60&lt;TODAY(),B60+ROW()/100000,""))</f>
        <v/>
      </c>
    </row>
    <row r="61" customFormat="false" ht="15" hidden="false" customHeight="false" outlineLevel="0" collapsed="false">
      <c r="A61" s="0" t="str">
        <f aca="true">IF(B61="","",IF(B61&gt;=TODAY(),B61+ROW()/100000,""))</f>
        <v/>
      </c>
      <c r="B61" s="0" t="str">
        <f aca="false">IF(AND(Scadenze!E64&lt;&gt;"",Scadenze!H64&lt;&gt;"☑"),Scadenze!E64,"")</f>
        <v/>
      </c>
      <c r="C61" s="0" t="str">
        <f aca="false">IF(B61="","",Scadenze!A64)</f>
        <v/>
      </c>
      <c r="D61" s="0" t="str">
        <f aca="false">IF(B61="","",Scadenze!B64)</f>
        <v/>
      </c>
      <c r="E61" s="0" t="str">
        <f aca="false">IF(B61="","","Scadenza")</f>
        <v/>
      </c>
      <c r="F61" s="0" t="str">
        <f aca="true">IF(B61="","",IF(B61&lt;TODAY(),B61+ROW()/100000,""))</f>
        <v/>
      </c>
    </row>
    <row r="62" customFormat="false" ht="15" hidden="false" customHeight="false" outlineLevel="0" collapsed="false">
      <c r="A62" s="0" t="str">
        <f aca="true">IF(B62="","",IF(B62&gt;=TODAY(),B62+ROW()/100000,""))</f>
        <v/>
      </c>
      <c r="B62" s="0" t="str">
        <f aca="false">IF(AND(Scadenze!E65&lt;&gt;"",Scadenze!H65&lt;&gt;"☑"),Scadenze!E65,"")</f>
        <v/>
      </c>
      <c r="C62" s="0" t="str">
        <f aca="false">IF(B62="","",Scadenze!A65)</f>
        <v/>
      </c>
      <c r="D62" s="0" t="str">
        <f aca="false">IF(B62="","",Scadenze!B65)</f>
        <v/>
      </c>
      <c r="E62" s="0" t="str">
        <f aca="false">IF(B62="","","Scadenza")</f>
        <v/>
      </c>
      <c r="F62" s="0" t="str">
        <f aca="true">IF(B62="","",IF(B62&lt;TODAY(),B62+ROW()/100000,""))</f>
        <v/>
      </c>
    </row>
    <row r="63" customFormat="false" ht="15" hidden="false" customHeight="false" outlineLevel="0" collapsed="false">
      <c r="A63" s="0" t="str">
        <f aca="true">IF(B63="","",IF(B63&gt;=TODAY(),B63+ROW()/100000,""))</f>
        <v/>
      </c>
      <c r="B63" s="0" t="str">
        <f aca="false">IF(AND(Scadenze!E66&lt;&gt;"",Scadenze!H66&lt;&gt;"☑"),Scadenze!E66,"")</f>
        <v/>
      </c>
      <c r="C63" s="0" t="str">
        <f aca="false">IF(B63="","",Scadenze!A66)</f>
        <v/>
      </c>
      <c r="D63" s="0" t="str">
        <f aca="false">IF(B63="","",Scadenze!B66)</f>
        <v/>
      </c>
      <c r="E63" s="0" t="str">
        <f aca="false">IF(B63="","","Scadenza")</f>
        <v/>
      </c>
      <c r="F63" s="0" t="str">
        <f aca="true">IF(B63="","",IF(B63&lt;TODAY(),B63+ROW()/100000,""))</f>
        <v/>
      </c>
    </row>
    <row r="64" customFormat="false" ht="15" hidden="false" customHeight="false" outlineLevel="0" collapsed="false">
      <c r="A64" s="0" t="str">
        <f aca="true">IF(B64="","",IF(B64&gt;=TODAY(),B64+ROW()/100000,""))</f>
        <v/>
      </c>
      <c r="B64" s="0" t="str">
        <f aca="false">IF(AND(Scadenze!E67&lt;&gt;"",Scadenze!H67&lt;&gt;"☑"),Scadenze!E67,"")</f>
        <v/>
      </c>
      <c r="C64" s="0" t="str">
        <f aca="false">IF(B64="","",Scadenze!A67)</f>
        <v/>
      </c>
      <c r="D64" s="0" t="str">
        <f aca="false">IF(B64="","",Scadenze!B67)</f>
        <v/>
      </c>
      <c r="E64" s="0" t="str">
        <f aca="false">IF(B64="","","Scadenza")</f>
        <v/>
      </c>
      <c r="F64" s="0" t="str">
        <f aca="true">IF(B64="","",IF(B64&lt;TODAY(),B64+ROW()/100000,""))</f>
        <v/>
      </c>
    </row>
    <row r="65" customFormat="false" ht="15" hidden="false" customHeight="false" outlineLevel="0" collapsed="false">
      <c r="A65" s="0" t="str">
        <f aca="true">IF(B65="","",IF(B65&gt;=TODAY(),B65+ROW()/100000,""))</f>
        <v/>
      </c>
      <c r="B65" s="0" t="str">
        <f aca="false">IF(AND(Scadenze!E68&lt;&gt;"",Scadenze!H68&lt;&gt;"☑"),Scadenze!E68,"")</f>
        <v/>
      </c>
      <c r="C65" s="0" t="str">
        <f aca="false">IF(B65="","",Scadenze!A68)</f>
        <v/>
      </c>
      <c r="D65" s="0" t="str">
        <f aca="false">IF(B65="","",Scadenze!B68)</f>
        <v/>
      </c>
      <c r="E65" s="0" t="str">
        <f aca="false">IF(B65="","","Scadenza")</f>
        <v/>
      </c>
      <c r="F65" s="0" t="str">
        <f aca="true">IF(B65="","",IF(B65&lt;TODAY(),B65+ROW()/100000,""))</f>
        <v/>
      </c>
    </row>
    <row r="66" customFormat="false" ht="15" hidden="false" customHeight="false" outlineLevel="0" collapsed="false">
      <c r="A66" s="0" t="str">
        <f aca="true">IF(B66="","",IF(B66&gt;=TODAY(),B66+ROW()/100000,""))</f>
        <v/>
      </c>
      <c r="B66" s="0" t="str">
        <f aca="false">IF(AND(Scadenze!E69&lt;&gt;"",Scadenze!H69&lt;&gt;"☑"),Scadenze!E69,"")</f>
        <v/>
      </c>
      <c r="C66" s="0" t="str">
        <f aca="false">IF(B66="","",Scadenze!A69)</f>
        <v/>
      </c>
      <c r="D66" s="0" t="str">
        <f aca="false">IF(B66="","",Scadenze!B69)</f>
        <v/>
      </c>
      <c r="E66" s="0" t="str">
        <f aca="false">IF(B66="","","Scadenza")</f>
        <v/>
      </c>
      <c r="F66" s="0" t="str">
        <f aca="true">IF(B66="","",IF(B66&lt;TODAY(),B66+ROW()/100000,""))</f>
        <v/>
      </c>
    </row>
    <row r="67" customFormat="false" ht="15" hidden="false" customHeight="false" outlineLevel="0" collapsed="false">
      <c r="A67" s="0" t="str">
        <f aca="true">IF(B67="","",IF(B67&gt;=TODAY(),B67+ROW()/100000,""))</f>
        <v/>
      </c>
      <c r="B67" s="0" t="str">
        <f aca="false">IF(AND(Scadenze!E70&lt;&gt;"",Scadenze!H70&lt;&gt;"☑"),Scadenze!E70,"")</f>
        <v/>
      </c>
      <c r="C67" s="0" t="str">
        <f aca="false">IF(B67="","",Scadenze!A70)</f>
        <v/>
      </c>
      <c r="D67" s="0" t="str">
        <f aca="false">IF(B67="","",Scadenze!B70)</f>
        <v/>
      </c>
      <c r="E67" s="0" t="str">
        <f aca="false">IF(B67="","","Scadenza")</f>
        <v/>
      </c>
      <c r="F67" s="0" t="str">
        <f aca="true">IF(B67="","",IF(B67&lt;TODAY(),B67+ROW()/100000,""))</f>
        <v/>
      </c>
    </row>
    <row r="68" customFormat="false" ht="15" hidden="false" customHeight="false" outlineLevel="0" collapsed="false">
      <c r="A68" s="0" t="str">
        <f aca="true">IF(B68="","",IF(B68&gt;=TODAY(),B68+ROW()/100000,""))</f>
        <v/>
      </c>
      <c r="B68" s="0" t="str">
        <f aca="false">IF(AND(Scadenze!E71&lt;&gt;"",Scadenze!H71&lt;&gt;"☑"),Scadenze!E71,"")</f>
        <v/>
      </c>
      <c r="C68" s="0" t="str">
        <f aca="false">IF(B68="","",Scadenze!A71)</f>
        <v/>
      </c>
      <c r="D68" s="0" t="str">
        <f aca="false">IF(B68="","",Scadenze!B71)</f>
        <v/>
      </c>
      <c r="E68" s="0" t="str">
        <f aca="false">IF(B68="","","Scadenza")</f>
        <v/>
      </c>
      <c r="F68" s="0" t="str">
        <f aca="true">IF(B68="","",IF(B68&lt;TODAY(),B68+ROW()/100000,""))</f>
        <v/>
      </c>
    </row>
    <row r="69" customFormat="false" ht="15" hidden="false" customHeight="false" outlineLevel="0" collapsed="false">
      <c r="A69" s="0" t="str">
        <f aca="true">IF(B69="","",IF(B69&gt;=TODAY(),B69+ROW()/100000,""))</f>
        <v/>
      </c>
      <c r="B69" s="0" t="str">
        <f aca="false">IF(AND(Scadenze!E72&lt;&gt;"",Scadenze!H72&lt;&gt;"☑"),Scadenze!E72,"")</f>
        <v/>
      </c>
      <c r="C69" s="0" t="str">
        <f aca="false">IF(B69="","",Scadenze!A72)</f>
        <v/>
      </c>
      <c r="D69" s="0" t="str">
        <f aca="false">IF(B69="","",Scadenze!B72)</f>
        <v/>
      </c>
      <c r="E69" s="0" t="str">
        <f aca="false">IF(B69="","","Scadenza")</f>
        <v/>
      </c>
      <c r="F69" s="0" t="str">
        <f aca="true">IF(B69="","",IF(B69&lt;TODAY(),B69+ROW()/100000,""))</f>
        <v/>
      </c>
    </row>
    <row r="70" customFormat="false" ht="15" hidden="false" customHeight="false" outlineLevel="0" collapsed="false">
      <c r="A70" s="0" t="str">
        <f aca="true">IF(B70="","",IF(B70&gt;=TODAY(),B70+ROW()/100000,""))</f>
        <v/>
      </c>
      <c r="B70" s="0" t="str">
        <f aca="false">IF(AND(Scadenze!E73&lt;&gt;"",Scadenze!H73&lt;&gt;"☑"),Scadenze!E73,"")</f>
        <v/>
      </c>
      <c r="C70" s="0" t="str">
        <f aca="false">IF(B70="","",Scadenze!A73)</f>
        <v/>
      </c>
      <c r="D70" s="0" t="str">
        <f aca="false">IF(B70="","",Scadenze!B73)</f>
        <v/>
      </c>
      <c r="E70" s="0" t="str">
        <f aca="false">IF(B70="","","Scadenza")</f>
        <v/>
      </c>
      <c r="F70" s="0" t="str">
        <f aca="true">IF(B70="","",IF(B70&lt;TODAY(),B70+ROW()/100000,""))</f>
        <v/>
      </c>
    </row>
    <row r="71" customFormat="false" ht="15" hidden="false" customHeight="false" outlineLevel="0" collapsed="false">
      <c r="A71" s="0" t="str">
        <f aca="true">IF(B71="","",IF(B71&gt;=TODAY(),B71+ROW()/100000,""))</f>
        <v/>
      </c>
      <c r="B71" s="0" t="str">
        <f aca="false">IF(AND(Scadenze!E74&lt;&gt;"",Scadenze!H74&lt;&gt;"☑"),Scadenze!E74,"")</f>
        <v/>
      </c>
      <c r="C71" s="0" t="str">
        <f aca="false">IF(B71="","",Scadenze!A74)</f>
        <v/>
      </c>
      <c r="D71" s="0" t="str">
        <f aca="false">IF(B71="","",Scadenze!B74)</f>
        <v/>
      </c>
      <c r="E71" s="0" t="str">
        <f aca="false">IF(B71="","","Scadenza")</f>
        <v/>
      </c>
      <c r="F71" s="0" t="str">
        <f aca="true">IF(B71="","",IF(B71&lt;TODAY(),B71+ROW()/100000,""))</f>
        <v/>
      </c>
    </row>
    <row r="72" customFormat="false" ht="15" hidden="false" customHeight="false" outlineLevel="0" collapsed="false">
      <c r="A72" s="0" t="str">
        <f aca="true">IF(B72="","",IF(B72&gt;=TODAY(),B72+ROW()/100000,""))</f>
        <v/>
      </c>
      <c r="B72" s="0" t="str">
        <f aca="false">IF(AND(Scadenze!E75&lt;&gt;"",Scadenze!H75&lt;&gt;"☑"),Scadenze!E75,"")</f>
        <v/>
      </c>
      <c r="C72" s="0" t="str">
        <f aca="false">IF(B72="","",Scadenze!A75)</f>
        <v/>
      </c>
      <c r="D72" s="0" t="str">
        <f aca="false">IF(B72="","",Scadenze!B75)</f>
        <v/>
      </c>
      <c r="E72" s="0" t="str">
        <f aca="false">IF(B72="","","Scadenza")</f>
        <v/>
      </c>
      <c r="F72" s="0" t="str">
        <f aca="true">IF(B72="","",IF(B72&lt;TODAY(),B72+ROW()/100000,""))</f>
        <v/>
      </c>
    </row>
    <row r="73" customFormat="false" ht="15" hidden="false" customHeight="false" outlineLevel="0" collapsed="false">
      <c r="A73" s="0" t="str">
        <f aca="true">IF(B73="","",IF(B73&gt;=TODAY(),B73+ROW()/100000,""))</f>
        <v/>
      </c>
      <c r="B73" s="0" t="str">
        <f aca="false">IF(AND(Scadenze!E76&lt;&gt;"",Scadenze!H76&lt;&gt;"☑"),Scadenze!E76,"")</f>
        <v/>
      </c>
      <c r="C73" s="0" t="str">
        <f aca="false">IF(B73="","",Scadenze!A76)</f>
        <v/>
      </c>
      <c r="D73" s="0" t="str">
        <f aca="false">IF(B73="","",Scadenze!B76)</f>
        <v/>
      </c>
      <c r="E73" s="0" t="str">
        <f aca="false">IF(B73="","","Scadenza")</f>
        <v/>
      </c>
      <c r="F73" s="0" t="str">
        <f aca="true">IF(B73="","",IF(B73&lt;TODAY(),B73+ROW()/100000,""))</f>
        <v/>
      </c>
    </row>
    <row r="74" customFormat="false" ht="15" hidden="false" customHeight="false" outlineLevel="0" collapsed="false">
      <c r="A74" s="0" t="str">
        <f aca="true">IF(B74="","",IF(B74&gt;=TODAY(),B74+ROW()/100000,""))</f>
        <v/>
      </c>
      <c r="B74" s="0" t="str">
        <f aca="false">IF(AND(Scadenze!E77&lt;&gt;"",Scadenze!H77&lt;&gt;"☑"),Scadenze!E77,"")</f>
        <v/>
      </c>
      <c r="C74" s="0" t="str">
        <f aca="false">IF(B74="","",Scadenze!A77)</f>
        <v/>
      </c>
      <c r="D74" s="0" t="str">
        <f aca="false">IF(B74="","",Scadenze!B77)</f>
        <v/>
      </c>
      <c r="E74" s="0" t="str">
        <f aca="false">IF(B74="","","Scadenza")</f>
        <v/>
      </c>
      <c r="F74" s="0" t="str">
        <f aca="true">IF(B74="","",IF(B74&lt;TODAY(),B74+ROW()/100000,""))</f>
        <v/>
      </c>
    </row>
    <row r="75" customFormat="false" ht="15" hidden="false" customHeight="false" outlineLevel="0" collapsed="false">
      <c r="A75" s="0" t="str">
        <f aca="true">IF(B75="","",IF(B75&gt;=TODAY(),B75+ROW()/100000,""))</f>
        <v/>
      </c>
      <c r="B75" s="0" t="str">
        <f aca="false">IF(AND(Scadenze!E78&lt;&gt;"",Scadenze!H78&lt;&gt;"☑"),Scadenze!E78,"")</f>
        <v/>
      </c>
      <c r="C75" s="0" t="str">
        <f aca="false">IF(B75="","",Scadenze!A78)</f>
        <v/>
      </c>
      <c r="D75" s="0" t="str">
        <f aca="false">IF(B75="","",Scadenze!B78)</f>
        <v/>
      </c>
      <c r="E75" s="0" t="str">
        <f aca="false">IF(B75="","","Scadenza")</f>
        <v/>
      </c>
      <c r="F75" s="0" t="str">
        <f aca="true">IF(B75="","",IF(B75&lt;TODAY(),B75+ROW()/100000,""))</f>
        <v/>
      </c>
    </row>
    <row r="76" customFormat="false" ht="15" hidden="false" customHeight="false" outlineLevel="0" collapsed="false">
      <c r="A76" s="0" t="str">
        <f aca="true">IF(B76="","",IF(B76&gt;=TODAY(),B76+ROW()/100000,""))</f>
        <v/>
      </c>
      <c r="B76" s="0" t="str">
        <f aca="false">IF(AND(Scadenze!E79&lt;&gt;"",Scadenze!H79&lt;&gt;"☑"),Scadenze!E79,"")</f>
        <v/>
      </c>
      <c r="C76" s="0" t="str">
        <f aca="false">IF(B76="","",Scadenze!A79)</f>
        <v/>
      </c>
      <c r="D76" s="0" t="str">
        <f aca="false">IF(B76="","",Scadenze!B79)</f>
        <v/>
      </c>
      <c r="E76" s="0" t="str">
        <f aca="false">IF(B76="","","Scadenza")</f>
        <v/>
      </c>
      <c r="F76" s="0" t="str">
        <f aca="true">IF(B76="","",IF(B76&lt;TODAY(),B76+ROW()/100000,""))</f>
        <v/>
      </c>
    </row>
    <row r="77" customFormat="false" ht="15" hidden="false" customHeight="false" outlineLevel="0" collapsed="false">
      <c r="A77" s="0" t="str">
        <f aca="true">IF(B77="","",IF(B77&gt;=TODAY(),B77+ROW()/100000,""))</f>
        <v/>
      </c>
      <c r="B77" s="0" t="str">
        <f aca="false">IF(AND(Scadenze!E80&lt;&gt;"",Scadenze!H80&lt;&gt;"☑"),Scadenze!E80,"")</f>
        <v/>
      </c>
      <c r="C77" s="0" t="str">
        <f aca="false">IF(B77="","",Scadenze!A80)</f>
        <v/>
      </c>
      <c r="D77" s="0" t="str">
        <f aca="false">IF(B77="","",Scadenze!B80)</f>
        <v/>
      </c>
      <c r="E77" s="0" t="str">
        <f aca="false">IF(B77="","","Scadenza")</f>
        <v/>
      </c>
      <c r="F77" s="0" t="str">
        <f aca="true">IF(B77="","",IF(B77&lt;TODAY(),B77+ROW()/100000,""))</f>
        <v/>
      </c>
    </row>
    <row r="78" customFormat="false" ht="15" hidden="false" customHeight="false" outlineLevel="0" collapsed="false">
      <c r="A78" s="0" t="str">
        <f aca="true">IF(B78="","",IF(B78&gt;=TODAY(),B78+ROW()/100000,""))</f>
        <v/>
      </c>
      <c r="B78" s="0" t="str">
        <f aca="false">IF(AND(Scadenze!E81&lt;&gt;"",Scadenze!H81&lt;&gt;"☑"),Scadenze!E81,"")</f>
        <v/>
      </c>
      <c r="C78" s="0" t="str">
        <f aca="false">IF(B78="","",Scadenze!A81)</f>
        <v/>
      </c>
      <c r="D78" s="0" t="str">
        <f aca="false">IF(B78="","",Scadenze!B81)</f>
        <v/>
      </c>
      <c r="E78" s="0" t="str">
        <f aca="false">IF(B78="","","Scadenza")</f>
        <v/>
      </c>
      <c r="F78" s="0" t="str">
        <f aca="true">IF(B78="","",IF(B78&lt;TODAY(),B78+ROW()/100000,""))</f>
        <v/>
      </c>
    </row>
    <row r="79" customFormat="false" ht="15" hidden="false" customHeight="false" outlineLevel="0" collapsed="false">
      <c r="A79" s="0" t="str">
        <f aca="true">IF(B79="","",IF(B79&gt;=TODAY(),B79+ROW()/100000,""))</f>
        <v/>
      </c>
      <c r="B79" s="0" t="str">
        <f aca="false">IF(AND(Scadenze!E82&lt;&gt;"",Scadenze!H82&lt;&gt;"☑"),Scadenze!E82,"")</f>
        <v/>
      </c>
      <c r="C79" s="0" t="str">
        <f aca="false">IF(B79="","",Scadenze!A82)</f>
        <v/>
      </c>
      <c r="D79" s="0" t="str">
        <f aca="false">IF(B79="","",Scadenze!B82)</f>
        <v/>
      </c>
      <c r="E79" s="0" t="str">
        <f aca="false">IF(B79="","","Scadenza")</f>
        <v/>
      </c>
      <c r="F79" s="0" t="str">
        <f aca="true">IF(B79="","",IF(B79&lt;TODAY(),B79+ROW()/100000,""))</f>
        <v/>
      </c>
    </row>
    <row r="80" customFormat="false" ht="15" hidden="false" customHeight="false" outlineLevel="0" collapsed="false">
      <c r="A80" s="0" t="str">
        <f aca="true">IF(B80="","",IF(B80&gt;=TODAY(),B80+ROW()/100000,""))</f>
        <v/>
      </c>
      <c r="B80" s="0" t="str">
        <f aca="false">IF(AND(Scadenze!E83&lt;&gt;"",Scadenze!H83&lt;&gt;"☑"),Scadenze!E83,"")</f>
        <v/>
      </c>
      <c r="C80" s="0" t="str">
        <f aca="false">IF(B80="","",Scadenze!A83)</f>
        <v/>
      </c>
      <c r="D80" s="0" t="str">
        <f aca="false">IF(B80="","",Scadenze!B83)</f>
        <v/>
      </c>
      <c r="E80" s="0" t="str">
        <f aca="false">IF(B80="","","Scadenza")</f>
        <v/>
      </c>
      <c r="F80" s="0" t="str">
        <f aca="true">IF(B80="","",IF(B80&lt;TODAY(),B80+ROW()/100000,""))</f>
        <v/>
      </c>
    </row>
    <row r="81" customFormat="false" ht="15" hidden="false" customHeight="false" outlineLevel="0" collapsed="false">
      <c r="A81" s="0" t="str">
        <f aca="true">IF(B81="","",IF(B81&gt;=TODAY(),B81+ROW()/100000,""))</f>
        <v/>
      </c>
      <c r="B81" s="0" t="str">
        <f aca="false">IF(AND(Scadenze!E84&lt;&gt;"",Scadenze!H84&lt;&gt;"☑"),Scadenze!E84,"")</f>
        <v/>
      </c>
      <c r="C81" s="0" t="str">
        <f aca="false">IF(B81="","",Scadenze!A84)</f>
        <v/>
      </c>
      <c r="D81" s="0" t="str">
        <f aca="false">IF(B81="","",Scadenze!B84)</f>
        <v/>
      </c>
      <c r="E81" s="0" t="str">
        <f aca="false">IF(B81="","","Scadenza")</f>
        <v/>
      </c>
      <c r="F81" s="0" t="str">
        <f aca="true">IF(B81="","",IF(B81&lt;TODAY(),B81+ROW()/100000,""))</f>
        <v/>
      </c>
    </row>
    <row r="82" customFormat="false" ht="15" hidden="false" customHeight="false" outlineLevel="0" collapsed="false">
      <c r="A82" s="0" t="str">
        <f aca="true">IF(B82="","",IF(B82&gt;=TODAY(),B82+ROW()/100000,""))</f>
        <v/>
      </c>
      <c r="B82" s="0" t="str">
        <f aca="false">IF(AND(Scadenze!E85&lt;&gt;"",Scadenze!H85&lt;&gt;"☑"),Scadenze!E85,"")</f>
        <v/>
      </c>
      <c r="C82" s="0" t="str">
        <f aca="false">IF(B82="","",Scadenze!A85)</f>
        <v/>
      </c>
      <c r="D82" s="0" t="str">
        <f aca="false">IF(B82="","",Scadenze!B85)</f>
        <v/>
      </c>
      <c r="E82" s="0" t="str">
        <f aca="false">IF(B82="","","Scadenza")</f>
        <v/>
      </c>
      <c r="F82" s="0" t="str">
        <f aca="true">IF(B82="","",IF(B82&lt;TODAY(),B82+ROW()/100000,""))</f>
        <v/>
      </c>
    </row>
    <row r="83" customFormat="false" ht="15" hidden="false" customHeight="false" outlineLevel="0" collapsed="false">
      <c r="A83" s="0" t="str">
        <f aca="true">IF(B83="","",IF(B83&gt;=TODAY(),B83+ROW()/100000,""))</f>
        <v/>
      </c>
      <c r="B83" s="0" t="str">
        <f aca="false">IF(AND(Scadenze!E86&lt;&gt;"",Scadenze!H86&lt;&gt;"☑"),Scadenze!E86,"")</f>
        <v/>
      </c>
      <c r="C83" s="0" t="str">
        <f aca="false">IF(B83="","",Scadenze!A86)</f>
        <v/>
      </c>
      <c r="D83" s="0" t="str">
        <f aca="false">IF(B83="","",Scadenze!B86)</f>
        <v/>
      </c>
      <c r="E83" s="0" t="str">
        <f aca="false">IF(B83="","","Scadenza")</f>
        <v/>
      </c>
      <c r="F83" s="0" t="str">
        <f aca="true">IF(B83="","",IF(B83&lt;TODAY(),B83+ROW()/100000,""))</f>
        <v/>
      </c>
    </row>
    <row r="84" customFormat="false" ht="15" hidden="false" customHeight="false" outlineLevel="0" collapsed="false">
      <c r="A84" s="0" t="str">
        <f aca="true">IF(B84="","",IF(B84&gt;=TODAY(),B84+ROW()/100000,""))</f>
        <v/>
      </c>
      <c r="B84" s="0" t="str">
        <f aca="false">IF(AND(Scadenze!E87&lt;&gt;"",Scadenze!H87&lt;&gt;"☑"),Scadenze!E87,"")</f>
        <v/>
      </c>
      <c r="C84" s="0" t="str">
        <f aca="false">IF(B84="","",Scadenze!A87)</f>
        <v/>
      </c>
      <c r="D84" s="0" t="str">
        <f aca="false">IF(B84="","",Scadenze!B87)</f>
        <v/>
      </c>
      <c r="E84" s="0" t="str">
        <f aca="false">IF(B84="","","Scadenza")</f>
        <v/>
      </c>
      <c r="F84" s="0" t="str">
        <f aca="true">IF(B84="","",IF(B84&lt;TODAY(),B84+ROW()/100000,""))</f>
        <v/>
      </c>
    </row>
    <row r="85" customFormat="false" ht="15" hidden="false" customHeight="false" outlineLevel="0" collapsed="false">
      <c r="A85" s="0" t="str">
        <f aca="true">IF(B85="","",IF(B85&gt;=TODAY(),B85+ROW()/100000,""))</f>
        <v/>
      </c>
      <c r="B85" s="0" t="str">
        <f aca="false">IF(AND(Scadenze!E88&lt;&gt;"",Scadenze!H88&lt;&gt;"☑"),Scadenze!E88,"")</f>
        <v/>
      </c>
      <c r="C85" s="0" t="str">
        <f aca="false">IF(B85="","",Scadenze!A88)</f>
        <v/>
      </c>
      <c r="D85" s="0" t="str">
        <f aca="false">IF(B85="","",Scadenze!B88)</f>
        <v/>
      </c>
      <c r="E85" s="0" t="str">
        <f aca="false">IF(B85="","","Scadenza")</f>
        <v/>
      </c>
      <c r="F85" s="0" t="str">
        <f aca="true">IF(B85="","",IF(B85&lt;TODAY(),B85+ROW()/100000,""))</f>
        <v/>
      </c>
    </row>
    <row r="86" customFormat="false" ht="15" hidden="false" customHeight="false" outlineLevel="0" collapsed="false">
      <c r="A86" s="0" t="str">
        <f aca="true">IF(B86="","",IF(B86&gt;=TODAY(),B86+ROW()/100000,""))</f>
        <v/>
      </c>
      <c r="B86" s="0" t="str">
        <f aca="false">IF(AND(Scadenze!E89&lt;&gt;"",Scadenze!H89&lt;&gt;"☑"),Scadenze!E89,"")</f>
        <v/>
      </c>
      <c r="C86" s="0" t="str">
        <f aca="false">IF(B86="","",Scadenze!A89)</f>
        <v/>
      </c>
      <c r="D86" s="0" t="str">
        <f aca="false">IF(B86="","",Scadenze!B89)</f>
        <v/>
      </c>
      <c r="E86" s="0" t="str">
        <f aca="false">IF(B86="","","Scadenza")</f>
        <v/>
      </c>
      <c r="F86" s="0" t="str">
        <f aca="true">IF(B86="","",IF(B86&lt;TODAY(),B86+ROW()/100000,""))</f>
        <v/>
      </c>
    </row>
    <row r="87" customFormat="false" ht="15" hidden="false" customHeight="false" outlineLevel="0" collapsed="false">
      <c r="A87" s="0" t="str">
        <f aca="true">IF(B87="","",IF(B87&gt;=TODAY(),B87+ROW()/100000,""))</f>
        <v/>
      </c>
      <c r="B87" s="0" t="str">
        <f aca="false">IF(AND(Scadenze!E90&lt;&gt;"",Scadenze!H90&lt;&gt;"☑"),Scadenze!E90,"")</f>
        <v/>
      </c>
      <c r="C87" s="0" t="str">
        <f aca="false">IF(B87="","",Scadenze!A90)</f>
        <v/>
      </c>
      <c r="D87" s="0" t="str">
        <f aca="false">IF(B87="","",Scadenze!B90)</f>
        <v/>
      </c>
      <c r="E87" s="0" t="str">
        <f aca="false">IF(B87="","","Scadenza")</f>
        <v/>
      </c>
      <c r="F87" s="0" t="str">
        <f aca="true">IF(B87="","",IF(B87&lt;TODAY(),B87+ROW()/100000,""))</f>
        <v/>
      </c>
    </row>
    <row r="88" customFormat="false" ht="15" hidden="false" customHeight="false" outlineLevel="0" collapsed="false">
      <c r="A88" s="0" t="str">
        <f aca="true">IF(B88="","",IF(B88&gt;=TODAY(),B88+ROW()/100000,""))</f>
        <v/>
      </c>
      <c r="B88" s="0" t="str">
        <f aca="false">IF(AND(Scadenze!E91&lt;&gt;"",Scadenze!H91&lt;&gt;"☑"),Scadenze!E91,"")</f>
        <v/>
      </c>
      <c r="C88" s="0" t="str">
        <f aca="false">IF(B88="","",Scadenze!A91)</f>
        <v/>
      </c>
      <c r="D88" s="0" t="str">
        <f aca="false">IF(B88="","",Scadenze!B91)</f>
        <v/>
      </c>
      <c r="E88" s="0" t="str">
        <f aca="false">IF(B88="","","Scadenza")</f>
        <v/>
      </c>
      <c r="F88" s="0" t="str">
        <f aca="true">IF(B88="","",IF(B88&lt;TODAY(),B88+ROW()/100000,""))</f>
        <v/>
      </c>
    </row>
    <row r="89" customFormat="false" ht="15" hidden="false" customHeight="false" outlineLevel="0" collapsed="false">
      <c r="A89" s="0" t="str">
        <f aca="true">IF(B89="","",IF(B89&gt;=TODAY(),B89+ROW()/100000,""))</f>
        <v/>
      </c>
      <c r="B89" s="0" t="str">
        <f aca="false">IF(AND(Scadenze!E92&lt;&gt;"",Scadenze!H92&lt;&gt;"☑"),Scadenze!E92,"")</f>
        <v/>
      </c>
      <c r="C89" s="0" t="str">
        <f aca="false">IF(B89="","",Scadenze!A92)</f>
        <v/>
      </c>
      <c r="D89" s="0" t="str">
        <f aca="false">IF(B89="","",Scadenze!B92)</f>
        <v/>
      </c>
      <c r="E89" s="0" t="str">
        <f aca="false">IF(B89="","","Scadenza")</f>
        <v/>
      </c>
      <c r="F89" s="0" t="str">
        <f aca="true">IF(B89="","",IF(B89&lt;TODAY(),B89+ROW()/100000,""))</f>
        <v/>
      </c>
    </row>
    <row r="90" customFormat="false" ht="15" hidden="false" customHeight="false" outlineLevel="0" collapsed="false">
      <c r="A90" s="0" t="str">
        <f aca="true">IF(B90="","",IF(B90&gt;=TODAY(),B90+ROW()/100000,""))</f>
        <v/>
      </c>
      <c r="B90" s="0" t="str">
        <f aca="false">IF(AND(Scadenze!E93&lt;&gt;"",Scadenze!H93&lt;&gt;"☑"),Scadenze!E93,"")</f>
        <v/>
      </c>
      <c r="C90" s="0" t="str">
        <f aca="false">IF(B90="","",Scadenze!A93)</f>
        <v/>
      </c>
      <c r="D90" s="0" t="str">
        <f aca="false">IF(B90="","",Scadenze!B93)</f>
        <v/>
      </c>
      <c r="E90" s="0" t="str">
        <f aca="false">IF(B90="","","Scadenza")</f>
        <v/>
      </c>
      <c r="F90" s="0" t="str">
        <f aca="true">IF(B90="","",IF(B90&lt;TODAY(),B90+ROW()/100000,""))</f>
        <v/>
      </c>
    </row>
    <row r="91" customFormat="false" ht="15" hidden="false" customHeight="false" outlineLevel="0" collapsed="false">
      <c r="A91" s="0" t="str">
        <f aca="true">IF(B91="","",IF(B91&gt;=TODAY(),B91+ROW()/100000,""))</f>
        <v/>
      </c>
      <c r="B91" s="0" t="str">
        <f aca="false">IF(AND(Scadenze!E94&lt;&gt;"",Scadenze!H94&lt;&gt;"☑"),Scadenze!E94,"")</f>
        <v/>
      </c>
      <c r="C91" s="0" t="str">
        <f aca="false">IF(B91="","",Scadenze!A94)</f>
        <v/>
      </c>
      <c r="D91" s="0" t="str">
        <f aca="false">IF(B91="","",Scadenze!B94)</f>
        <v/>
      </c>
      <c r="E91" s="0" t="str">
        <f aca="false">IF(B91="","","Scadenza")</f>
        <v/>
      </c>
      <c r="F91" s="0" t="str">
        <f aca="true">IF(B91="","",IF(B91&lt;TODAY(),B91+ROW()/100000,""))</f>
        <v/>
      </c>
    </row>
    <row r="92" customFormat="false" ht="15" hidden="false" customHeight="false" outlineLevel="0" collapsed="false">
      <c r="A92" s="0" t="str">
        <f aca="true">IF(B92="","",IF(B92&gt;=TODAY(),B92+ROW()/100000,""))</f>
        <v/>
      </c>
      <c r="B92" s="0" t="str">
        <f aca="false">IF(AND(Scadenze!E95&lt;&gt;"",Scadenze!H95&lt;&gt;"☑"),Scadenze!E95,"")</f>
        <v/>
      </c>
      <c r="C92" s="0" t="str">
        <f aca="false">IF(B92="","",Scadenze!A95)</f>
        <v/>
      </c>
      <c r="D92" s="0" t="str">
        <f aca="false">IF(B92="","",Scadenze!B95)</f>
        <v/>
      </c>
      <c r="E92" s="0" t="str">
        <f aca="false">IF(B92="","","Scadenza")</f>
        <v/>
      </c>
      <c r="F92" s="0" t="str">
        <f aca="true">IF(B92="","",IF(B92&lt;TODAY(),B92+ROW()/100000,""))</f>
        <v/>
      </c>
    </row>
    <row r="93" customFormat="false" ht="15" hidden="false" customHeight="false" outlineLevel="0" collapsed="false">
      <c r="A93" s="0" t="str">
        <f aca="true">IF(B93="","",IF(B93&gt;=TODAY(),B93+ROW()/100000,""))</f>
        <v/>
      </c>
      <c r="B93" s="0" t="str">
        <f aca="false">IF(AND(Scadenze!E96&lt;&gt;"",Scadenze!H96&lt;&gt;"☑"),Scadenze!E96,"")</f>
        <v/>
      </c>
      <c r="C93" s="0" t="str">
        <f aca="false">IF(B93="","",Scadenze!A96)</f>
        <v/>
      </c>
      <c r="D93" s="0" t="str">
        <f aca="false">IF(B93="","",Scadenze!B96)</f>
        <v/>
      </c>
      <c r="E93" s="0" t="str">
        <f aca="false">IF(B93="","","Scadenza")</f>
        <v/>
      </c>
      <c r="F93" s="0" t="str">
        <f aca="true">IF(B93="","",IF(B93&lt;TODAY(),B93+ROW()/100000,""))</f>
        <v/>
      </c>
    </row>
    <row r="94" customFormat="false" ht="15" hidden="false" customHeight="false" outlineLevel="0" collapsed="false">
      <c r="A94" s="0" t="str">
        <f aca="true">IF(B94="","",IF(B94&gt;=TODAY(),B94+ROW()/100000,""))</f>
        <v/>
      </c>
      <c r="B94" s="0" t="str">
        <f aca="false">IF(AND(Scadenze!E97&lt;&gt;"",Scadenze!H97&lt;&gt;"☑"),Scadenze!E97,"")</f>
        <v/>
      </c>
      <c r="C94" s="0" t="str">
        <f aca="false">IF(B94="","",Scadenze!A97)</f>
        <v/>
      </c>
      <c r="D94" s="0" t="str">
        <f aca="false">IF(B94="","",Scadenze!B97)</f>
        <v/>
      </c>
      <c r="E94" s="0" t="str">
        <f aca="false">IF(B94="","","Scadenza")</f>
        <v/>
      </c>
      <c r="F94" s="0" t="str">
        <f aca="true">IF(B94="","",IF(B94&lt;TODAY(),B94+ROW()/100000,""))</f>
        <v/>
      </c>
    </row>
    <row r="95" customFormat="false" ht="15" hidden="false" customHeight="false" outlineLevel="0" collapsed="false">
      <c r="A95" s="0" t="str">
        <f aca="true">IF(B95="","",IF(B95&gt;=TODAY(),B95+ROW()/100000,""))</f>
        <v/>
      </c>
      <c r="B95" s="0" t="str">
        <f aca="false">IF(AND(Scadenze!E98&lt;&gt;"",Scadenze!H98&lt;&gt;"☑"),Scadenze!E98,"")</f>
        <v/>
      </c>
      <c r="C95" s="0" t="str">
        <f aca="false">IF(B95="","",Scadenze!A98)</f>
        <v/>
      </c>
      <c r="D95" s="0" t="str">
        <f aca="false">IF(B95="","",Scadenze!B98)</f>
        <v/>
      </c>
      <c r="E95" s="0" t="str">
        <f aca="false">IF(B95="","","Scadenza")</f>
        <v/>
      </c>
      <c r="F95" s="0" t="str">
        <f aca="true">IF(B95="","",IF(B95&lt;TODAY(),B95+ROW()/100000,""))</f>
        <v/>
      </c>
    </row>
    <row r="96" customFormat="false" ht="15" hidden="false" customHeight="false" outlineLevel="0" collapsed="false">
      <c r="A96" s="0" t="str">
        <f aca="true">IF(B96="","",IF(B96&gt;=TODAY(),B96+ROW()/100000,""))</f>
        <v/>
      </c>
      <c r="B96" s="0" t="str">
        <f aca="false">IF(AND(Scadenze!E99&lt;&gt;"",Scadenze!H99&lt;&gt;"☑"),Scadenze!E99,"")</f>
        <v/>
      </c>
      <c r="C96" s="0" t="str">
        <f aca="false">IF(B96="","",Scadenze!A99)</f>
        <v/>
      </c>
      <c r="D96" s="0" t="str">
        <f aca="false">IF(B96="","",Scadenze!B99)</f>
        <v/>
      </c>
      <c r="E96" s="0" t="str">
        <f aca="false">IF(B96="","","Scadenza")</f>
        <v/>
      </c>
      <c r="F96" s="0" t="str">
        <f aca="true">IF(B96="","",IF(B96&lt;TODAY(),B96+ROW()/100000,""))</f>
        <v/>
      </c>
    </row>
    <row r="97" customFormat="false" ht="15" hidden="false" customHeight="false" outlineLevel="0" collapsed="false">
      <c r="A97" s="0" t="str">
        <f aca="true">IF(B97="","",IF(B97&gt;=TODAY(),B97+ROW()/100000,""))</f>
        <v/>
      </c>
      <c r="B97" s="0" t="str">
        <f aca="false">IF(AND(Scadenze!E100&lt;&gt;"",Scadenze!H100&lt;&gt;"☑"),Scadenze!E100,"")</f>
        <v/>
      </c>
      <c r="C97" s="0" t="str">
        <f aca="false">IF(B97="","",Scadenze!A100)</f>
        <v/>
      </c>
      <c r="D97" s="0" t="str">
        <f aca="false">IF(B97="","",Scadenze!B100)</f>
        <v/>
      </c>
      <c r="E97" s="0" t="str">
        <f aca="false">IF(B97="","","Scadenza")</f>
        <v/>
      </c>
      <c r="F97" s="0" t="str">
        <f aca="true">IF(B97="","",IF(B97&lt;TODAY(),B97+ROW()/100000,""))</f>
        <v/>
      </c>
    </row>
    <row r="98" customFormat="false" ht="15" hidden="false" customHeight="false" outlineLevel="0" collapsed="false">
      <c r="A98" s="0" t="str">
        <f aca="true">IF(B98="","",IF(B98&gt;=TODAY(),B98+ROW()/100000,""))</f>
        <v/>
      </c>
      <c r="B98" s="0" t="str">
        <f aca="false">IF(AND(Scadenze!E101&lt;&gt;"",Scadenze!H101&lt;&gt;"☑"),Scadenze!E101,"")</f>
        <v/>
      </c>
      <c r="C98" s="0" t="str">
        <f aca="false">IF(B98="","",Scadenze!A101)</f>
        <v/>
      </c>
      <c r="D98" s="0" t="str">
        <f aca="false">IF(B98="","",Scadenze!B101)</f>
        <v/>
      </c>
      <c r="E98" s="0" t="str">
        <f aca="false">IF(B98="","","Scadenza")</f>
        <v/>
      </c>
      <c r="F98" s="0" t="str">
        <f aca="true">IF(B98="","",IF(B98&lt;TODAY(),B98+ROW()/100000,""))</f>
        <v/>
      </c>
    </row>
    <row r="99" customFormat="false" ht="15" hidden="false" customHeight="false" outlineLevel="0" collapsed="false">
      <c r="A99" s="0" t="str">
        <f aca="true">IF(B99="","",IF(B99&gt;=TODAY(),B99+ROW()/100000,""))</f>
        <v/>
      </c>
      <c r="B99" s="0" t="str">
        <f aca="false">IF(AND(Scadenze!E102&lt;&gt;"",Scadenze!H102&lt;&gt;"☑"),Scadenze!E102,"")</f>
        <v/>
      </c>
      <c r="C99" s="0" t="str">
        <f aca="false">IF(B99="","",Scadenze!A102)</f>
        <v/>
      </c>
      <c r="D99" s="0" t="str">
        <f aca="false">IF(B99="","",Scadenze!B102)</f>
        <v/>
      </c>
      <c r="E99" s="0" t="str">
        <f aca="false">IF(B99="","","Scadenza")</f>
        <v/>
      </c>
      <c r="F99" s="0" t="str">
        <f aca="true">IF(B99="","",IF(B99&lt;TODAY(),B99+ROW()/100000,""))</f>
        <v/>
      </c>
    </row>
    <row r="100" customFormat="false" ht="15" hidden="false" customHeight="false" outlineLevel="0" collapsed="false">
      <c r="A100" s="0" t="str">
        <f aca="true">IF(B100="","",IF(B100&gt;=TODAY(),B100+ROW()/100000,""))</f>
        <v/>
      </c>
      <c r="B100" s="0" t="str">
        <f aca="false">IF(AND(Scadenze!E103&lt;&gt;"",Scadenze!H103&lt;&gt;"☑"),Scadenze!E103,"")</f>
        <v/>
      </c>
      <c r="C100" s="0" t="str">
        <f aca="false">IF(B100="","",Scadenze!A103)</f>
        <v/>
      </c>
      <c r="D100" s="0" t="str">
        <f aca="false">IF(B100="","",Scadenze!B103)</f>
        <v/>
      </c>
      <c r="E100" s="0" t="str">
        <f aca="false">IF(B100="","","Scadenza")</f>
        <v/>
      </c>
      <c r="F100" s="0" t="str">
        <f aca="true">IF(B100="","",IF(B100&lt;TODAY(),B100+ROW()/100000,""))</f>
        <v/>
      </c>
    </row>
    <row r="101" customFormat="false" ht="15" hidden="false" customHeight="false" outlineLevel="0" collapsed="false">
      <c r="A101" s="0" t="str">
        <f aca="true">IF(B101="","",IF(B101&gt;=TODAY(),B101+ROW()/100000,""))</f>
        <v/>
      </c>
      <c r="B101" s="0" t="str">
        <f aca="false">IF(AND(Scadenze!E104&lt;&gt;"",Scadenze!H104&lt;&gt;"☑"),Scadenze!E104,"")</f>
        <v/>
      </c>
      <c r="C101" s="0" t="str">
        <f aca="false">IF(B101="","",Scadenze!A104)</f>
        <v/>
      </c>
      <c r="D101" s="0" t="str">
        <f aca="false">IF(B101="","",Scadenze!B104)</f>
        <v/>
      </c>
      <c r="E101" s="0" t="str">
        <f aca="false">IF(B101="","","Scadenza")</f>
        <v/>
      </c>
      <c r="F101" s="0" t="str">
        <f aca="true">IF(B101="","",IF(B101&lt;TODAY(),B101+ROW()/100000,""))</f>
        <v/>
      </c>
    </row>
    <row r="102" customFormat="false" ht="15" hidden="false" customHeight="false" outlineLevel="0" collapsed="false">
      <c r="A102" s="0" t="str">
        <f aca="true">IF(B102="","",IF(B102&gt;=TODAY(),B102+ROW()/100000,""))</f>
        <v/>
      </c>
      <c r="B102" s="0" t="str">
        <f aca="false">IF(AND(Scadenze!E105&lt;&gt;"",Scadenze!H105&lt;&gt;"☑"),Scadenze!E105,"")</f>
        <v/>
      </c>
      <c r="C102" s="0" t="str">
        <f aca="false">IF(B102="","",Scadenze!A105)</f>
        <v/>
      </c>
      <c r="D102" s="0" t="str">
        <f aca="false">IF(B102="","",Scadenze!B105)</f>
        <v/>
      </c>
      <c r="E102" s="0" t="str">
        <f aca="false">IF(B102="","","Scadenza")</f>
        <v/>
      </c>
      <c r="F102" s="0" t="str">
        <f aca="true">IF(B102="","",IF(B102&lt;TODAY(),B102+ROW()/100000,""))</f>
        <v/>
      </c>
    </row>
    <row r="103" customFormat="false" ht="15" hidden="false" customHeight="false" outlineLevel="0" collapsed="false">
      <c r="A103" s="0" t="str">
        <f aca="true">IF(B103="","",IF(B103&gt;=TODAY(),B103+ROW()/100000,""))</f>
        <v/>
      </c>
      <c r="B103" s="0" t="str">
        <f aca="false">IF(AND(Scadenze!E106&lt;&gt;"",Scadenze!H106&lt;&gt;"☑"),Scadenze!E106,"")</f>
        <v/>
      </c>
      <c r="C103" s="0" t="str">
        <f aca="false">IF(B103="","",Scadenze!A106)</f>
        <v/>
      </c>
      <c r="D103" s="0" t="str">
        <f aca="false">IF(B103="","",Scadenze!B106)</f>
        <v/>
      </c>
      <c r="E103" s="0" t="str">
        <f aca="false">IF(B103="","","Scadenza")</f>
        <v/>
      </c>
      <c r="F103" s="0" t="str">
        <f aca="true">IF(B103="","",IF(B103&lt;TODAY(),B103+ROW()/100000,""))</f>
        <v/>
      </c>
    </row>
    <row r="104" customFormat="false" ht="15" hidden="false" customHeight="false" outlineLevel="0" collapsed="false">
      <c r="A104" s="0" t="str">
        <f aca="true">IF(B104="","",IF(B104&gt;=TODAY(),B104+ROW()/100000,""))</f>
        <v/>
      </c>
      <c r="B104" s="0" t="str">
        <f aca="false">IF(AND(Scadenze!E107&lt;&gt;"",Scadenze!H107&lt;&gt;"☑"),Scadenze!E107,"")</f>
        <v/>
      </c>
      <c r="C104" s="0" t="str">
        <f aca="false">IF(B104="","",Scadenze!A107)</f>
        <v/>
      </c>
      <c r="D104" s="0" t="str">
        <f aca="false">IF(B104="","",Scadenze!B107)</f>
        <v/>
      </c>
      <c r="E104" s="0" t="str">
        <f aca="false">IF(B104="","","Scadenza")</f>
        <v/>
      </c>
      <c r="F104" s="0" t="str">
        <f aca="true">IF(B104="","",IF(B104&lt;TODAY(),B104+ROW()/100000,""))</f>
        <v/>
      </c>
    </row>
    <row r="105" customFormat="false" ht="15" hidden="false" customHeight="false" outlineLevel="0" collapsed="false">
      <c r="A105" s="0" t="str">
        <f aca="true">IF(B105="","",IF(B105&gt;=TODAY(),B105+ROW()/100000,""))</f>
        <v/>
      </c>
      <c r="B105" s="0" t="str">
        <f aca="false">IF(AND(Scadenze!E108&lt;&gt;"",Scadenze!H108&lt;&gt;"☑"),Scadenze!E108,"")</f>
        <v/>
      </c>
      <c r="C105" s="0" t="str">
        <f aca="false">IF(B105="","",Scadenze!A108)</f>
        <v/>
      </c>
      <c r="D105" s="0" t="str">
        <f aca="false">IF(B105="","",Scadenze!B108)</f>
        <v/>
      </c>
      <c r="E105" s="0" t="str">
        <f aca="false">IF(B105="","","Scadenza")</f>
        <v/>
      </c>
      <c r="F105" s="0" t="str">
        <f aca="true">IF(B105="","",IF(B105&lt;TODAY(),B105+ROW()/100000,""))</f>
        <v/>
      </c>
    </row>
    <row r="106" customFormat="false" ht="15" hidden="false" customHeight="false" outlineLevel="0" collapsed="false">
      <c r="A106" s="0" t="str">
        <f aca="true">IF(B106="","",IF(B106&gt;=TODAY(),B106+ROW()/100000,""))</f>
        <v/>
      </c>
      <c r="B106" s="0" t="str">
        <f aca="false">IF(AND(Scadenze!E109&lt;&gt;"",Scadenze!H109&lt;&gt;"☑"),Scadenze!E109,"")</f>
        <v/>
      </c>
      <c r="C106" s="0" t="str">
        <f aca="false">IF(B106="","",Scadenze!A109)</f>
        <v/>
      </c>
      <c r="D106" s="0" t="str">
        <f aca="false">IF(B106="","",Scadenze!B109)</f>
        <v/>
      </c>
      <c r="E106" s="0" t="str">
        <f aca="false">IF(B106="","","Scadenza")</f>
        <v/>
      </c>
      <c r="F106" s="0" t="str">
        <f aca="true">IF(B106="","",IF(B106&lt;TODAY(),B106+ROW()/100000,""))</f>
        <v/>
      </c>
    </row>
    <row r="107" customFormat="false" ht="15" hidden="false" customHeight="false" outlineLevel="0" collapsed="false">
      <c r="A107" s="0" t="str">
        <f aca="true">IF(B107="","",IF(B107&gt;=TODAY(),B107+ROW()/100000,""))</f>
        <v/>
      </c>
      <c r="B107" s="0" t="str">
        <f aca="false">IF(AND(Scadenze!E110&lt;&gt;"",Scadenze!H110&lt;&gt;"☑"),Scadenze!E110,"")</f>
        <v/>
      </c>
      <c r="C107" s="0" t="str">
        <f aca="false">IF(B107="","",Scadenze!A110)</f>
        <v/>
      </c>
      <c r="D107" s="0" t="str">
        <f aca="false">IF(B107="","",Scadenze!B110)</f>
        <v/>
      </c>
      <c r="E107" s="0" t="str">
        <f aca="false">IF(B107="","","Scadenza")</f>
        <v/>
      </c>
      <c r="F107" s="0" t="str">
        <f aca="true">IF(B107="","",IF(B107&lt;TODAY(),B107+ROW()/100000,""))</f>
        <v/>
      </c>
    </row>
    <row r="108" customFormat="false" ht="15" hidden="false" customHeight="false" outlineLevel="0" collapsed="false">
      <c r="A108" s="0" t="str">
        <f aca="true">IF(B108="","",IF(B108&gt;=TODAY(),B108+ROW()/100000,""))</f>
        <v/>
      </c>
      <c r="B108" s="0" t="str">
        <f aca="false">IF(AND(Scadenze!E111&lt;&gt;"",Scadenze!H111&lt;&gt;"☑"),Scadenze!E111,"")</f>
        <v/>
      </c>
      <c r="C108" s="0" t="str">
        <f aca="false">IF(B108="","",Scadenze!A111)</f>
        <v/>
      </c>
      <c r="D108" s="0" t="str">
        <f aca="false">IF(B108="","",Scadenze!B111)</f>
        <v/>
      </c>
      <c r="E108" s="0" t="str">
        <f aca="false">IF(B108="","","Scadenza")</f>
        <v/>
      </c>
      <c r="F108" s="0" t="str">
        <f aca="true">IF(B108="","",IF(B108&lt;TODAY(),B108+ROW()/100000,""))</f>
        <v/>
      </c>
    </row>
    <row r="109" customFormat="false" ht="15" hidden="false" customHeight="false" outlineLevel="0" collapsed="false">
      <c r="A109" s="0" t="str">
        <f aca="true">IF(B109="","",IF(B109&gt;=TODAY(),B109+ROW()/100000,""))</f>
        <v/>
      </c>
      <c r="B109" s="0" t="str">
        <f aca="false">IF(AND(Scadenze!E112&lt;&gt;"",Scadenze!H112&lt;&gt;"☑"),Scadenze!E112,"")</f>
        <v/>
      </c>
      <c r="C109" s="0" t="str">
        <f aca="false">IF(B109="","",Scadenze!A112)</f>
        <v/>
      </c>
      <c r="D109" s="0" t="str">
        <f aca="false">IF(B109="","",Scadenze!B112)</f>
        <v/>
      </c>
      <c r="E109" s="0" t="str">
        <f aca="false">IF(B109="","","Scadenza")</f>
        <v/>
      </c>
      <c r="F109" s="0" t="str">
        <f aca="true">IF(B109="","",IF(B109&lt;TODAY(),B109+ROW()/100000,""))</f>
        <v/>
      </c>
    </row>
    <row r="110" customFormat="false" ht="15" hidden="false" customHeight="false" outlineLevel="0" collapsed="false">
      <c r="A110" s="0" t="str">
        <f aca="true">IF(B110="","",IF(B110&gt;=TODAY(),B110+ROW()/100000,""))</f>
        <v/>
      </c>
      <c r="B110" s="0" t="str">
        <f aca="false">IF(AND(Scadenze!E113&lt;&gt;"",Scadenze!H113&lt;&gt;"☑"),Scadenze!E113,"")</f>
        <v/>
      </c>
      <c r="C110" s="0" t="str">
        <f aca="false">IF(B110="","",Scadenze!A113)</f>
        <v/>
      </c>
      <c r="D110" s="0" t="str">
        <f aca="false">IF(B110="","",Scadenze!B113)</f>
        <v/>
      </c>
      <c r="E110" s="0" t="str">
        <f aca="false">IF(B110="","","Scadenza")</f>
        <v/>
      </c>
      <c r="F110" s="0" t="str">
        <f aca="true">IF(B110="","",IF(B110&lt;TODAY(),B110+ROW()/100000,""))</f>
        <v/>
      </c>
    </row>
    <row r="111" customFormat="false" ht="15" hidden="false" customHeight="false" outlineLevel="0" collapsed="false">
      <c r="A111" s="0" t="str">
        <f aca="true">IF(B111="","",IF(B111&gt;=TODAY(),B111+ROW()/100000,""))</f>
        <v/>
      </c>
      <c r="B111" s="0" t="str">
        <f aca="false">IF(AND(Scadenze!E114&lt;&gt;"",Scadenze!H114&lt;&gt;"☑"),Scadenze!E114,"")</f>
        <v/>
      </c>
      <c r="C111" s="0" t="str">
        <f aca="false">IF(B111="","",Scadenze!A114)</f>
        <v/>
      </c>
      <c r="D111" s="0" t="str">
        <f aca="false">IF(B111="","",Scadenze!B114)</f>
        <v/>
      </c>
      <c r="E111" s="0" t="str">
        <f aca="false">IF(B111="","","Scadenza")</f>
        <v/>
      </c>
      <c r="F111" s="0" t="str">
        <f aca="true">IF(B111="","",IF(B111&lt;TODAY(),B111+ROW()/100000,""))</f>
        <v/>
      </c>
    </row>
    <row r="112" customFormat="false" ht="15" hidden="false" customHeight="false" outlineLevel="0" collapsed="false">
      <c r="A112" s="0" t="str">
        <f aca="true">IF(B112="","",IF(B112&gt;=TODAY(),B112+ROW()/100000,""))</f>
        <v/>
      </c>
      <c r="B112" s="0" t="str">
        <f aca="false">IF(AND(Scadenze!E115&lt;&gt;"",Scadenze!H115&lt;&gt;"☑"),Scadenze!E115,"")</f>
        <v/>
      </c>
      <c r="C112" s="0" t="str">
        <f aca="false">IF(B112="","",Scadenze!A115)</f>
        <v/>
      </c>
      <c r="D112" s="0" t="str">
        <f aca="false">IF(B112="","",Scadenze!B115)</f>
        <v/>
      </c>
      <c r="E112" s="0" t="str">
        <f aca="false">IF(B112="","","Scadenza")</f>
        <v/>
      </c>
      <c r="F112" s="0" t="str">
        <f aca="true">IF(B112="","",IF(B112&lt;TODAY(),B112+ROW()/100000,""))</f>
        <v/>
      </c>
    </row>
    <row r="113" customFormat="false" ht="15" hidden="false" customHeight="false" outlineLevel="0" collapsed="false">
      <c r="A113" s="0" t="str">
        <f aca="true">IF(B113="","",IF(B113&gt;=TODAY(),B113+ROW()/100000,""))</f>
        <v/>
      </c>
      <c r="B113" s="0" t="str">
        <f aca="false">IF(AND(Scadenze!E116&lt;&gt;"",Scadenze!H116&lt;&gt;"☑"),Scadenze!E116,"")</f>
        <v/>
      </c>
      <c r="C113" s="0" t="str">
        <f aca="false">IF(B113="","",Scadenze!A116)</f>
        <v/>
      </c>
      <c r="D113" s="0" t="str">
        <f aca="false">IF(B113="","",Scadenze!B116)</f>
        <v/>
      </c>
      <c r="E113" s="0" t="str">
        <f aca="false">IF(B113="","","Scadenza")</f>
        <v/>
      </c>
      <c r="F113" s="0" t="str">
        <f aca="true">IF(B113="","",IF(B113&lt;TODAY(),B113+ROW()/100000,""))</f>
        <v/>
      </c>
    </row>
    <row r="114" customFormat="false" ht="15" hidden="false" customHeight="false" outlineLevel="0" collapsed="false">
      <c r="A114" s="0" t="str">
        <f aca="true">IF(B114="","",IF(B114&gt;=TODAY(),B114+ROW()/100000,""))</f>
        <v/>
      </c>
      <c r="B114" s="0" t="str">
        <f aca="false">IF(AND(Scadenze!E117&lt;&gt;"",Scadenze!H117&lt;&gt;"☑"),Scadenze!E117,"")</f>
        <v/>
      </c>
      <c r="C114" s="0" t="str">
        <f aca="false">IF(B114="","",Scadenze!A117)</f>
        <v/>
      </c>
      <c r="D114" s="0" t="str">
        <f aca="false">IF(B114="","",Scadenze!B117)</f>
        <v/>
      </c>
      <c r="E114" s="0" t="str">
        <f aca="false">IF(B114="","","Scadenza")</f>
        <v/>
      </c>
      <c r="F114" s="0" t="str">
        <f aca="true">IF(B114="","",IF(B114&lt;TODAY(),B114+ROW()/100000,""))</f>
        <v/>
      </c>
    </row>
    <row r="115" customFormat="false" ht="15" hidden="false" customHeight="false" outlineLevel="0" collapsed="false">
      <c r="A115" s="0" t="str">
        <f aca="true">IF(B115="","",IF(B115&gt;=TODAY(),B115+ROW()/100000,""))</f>
        <v/>
      </c>
      <c r="B115" s="0" t="str">
        <f aca="false">IF(AND(Scadenze!E118&lt;&gt;"",Scadenze!H118&lt;&gt;"☑"),Scadenze!E118,"")</f>
        <v/>
      </c>
      <c r="C115" s="0" t="str">
        <f aca="false">IF(B115="","",Scadenze!A118)</f>
        <v/>
      </c>
      <c r="D115" s="0" t="str">
        <f aca="false">IF(B115="","",Scadenze!B118)</f>
        <v/>
      </c>
      <c r="E115" s="0" t="str">
        <f aca="false">IF(B115="","","Scadenza")</f>
        <v/>
      </c>
      <c r="F115" s="0" t="str">
        <f aca="true">IF(B115="","",IF(B115&lt;TODAY(),B115+ROW()/100000,""))</f>
        <v/>
      </c>
    </row>
    <row r="116" customFormat="false" ht="15" hidden="false" customHeight="false" outlineLevel="0" collapsed="false">
      <c r="A116" s="0" t="str">
        <f aca="true">IF(B116="","",IF(B116&gt;=TODAY(),B116+ROW()/100000,""))</f>
        <v/>
      </c>
      <c r="B116" s="0" t="str">
        <f aca="false">IF(AND(Scadenze!E119&lt;&gt;"",Scadenze!H119&lt;&gt;"☑"),Scadenze!E119,"")</f>
        <v/>
      </c>
      <c r="C116" s="0" t="str">
        <f aca="false">IF(B116="","",Scadenze!A119)</f>
        <v/>
      </c>
      <c r="D116" s="0" t="str">
        <f aca="false">IF(B116="","",Scadenze!B119)</f>
        <v/>
      </c>
      <c r="E116" s="0" t="str">
        <f aca="false">IF(B116="","","Scadenza")</f>
        <v/>
      </c>
      <c r="F116" s="0" t="str">
        <f aca="true">IF(B116="","",IF(B116&lt;TODAY(),B116+ROW()/100000,""))</f>
        <v/>
      </c>
    </row>
    <row r="117" customFormat="false" ht="15" hidden="false" customHeight="false" outlineLevel="0" collapsed="false">
      <c r="A117" s="0" t="str">
        <f aca="true">IF(B117="","",IF(B117&gt;=TODAY(),B117+ROW()/100000,""))</f>
        <v/>
      </c>
      <c r="B117" s="0" t="str">
        <f aca="false">IF(AND(Scadenze!E120&lt;&gt;"",Scadenze!H120&lt;&gt;"☑"),Scadenze!E120,"")</f>
        <v/>
      </c>
      <c r="C117" s="0" t="str">
        <f aca="false">IF(B117="","",Scadenze!A120)</f>
        <v/>
      </c>
      <c r="D117" s="0" t="str">
        <f aca="false">IF(B117="","",Scadenze!B120)</f>
        <v/>
      </c>
      <c r="E117" s="0" t="str">
        <f aca="false">IF(B117="","","Scadenza")</f>
        <v/>
      </c>
      <c r="F117" s="0" t="str">
        <f aca="true">IF(B117="","",IF(B117&lt;TODAY(),B117+ROW()/100000,""))</f>
        <v/>
      </c>
    </row>
    <row r="118" customFormat="false" ht="15" hidden="false" customHeight="false" outlineLevel="0" collapsed="false">
      <c r="A118" s="0" t="str">
        <f aca="true">IF(B118="","",IF(B118&gt;=TODAY(),B118+ROW()/100000,""))</f>
        <v/>
      </c>
      <c r="B118" s="0" t="str">
        <f aca="false">IF(AND(Scadenze!E121&lt;&gt;"",Scadenze!H121&lt;&gt;"☑"),Scadenze!E121,"")</f>
        <v/>
      </c>
      <c r="C118" s="0" t="str">
        <f aca="false">IF(B118="","",Scadenze!A121)</f>
        <v/>
      </c>
      <c r="D118" s="0" t="str">
        <f aca="false">IF(B118="","",Scadenze!B121)</f>
        <v/>
      </c>
      <c r="E118" s="0" t="str">
        <f aca="false">IF(B118="","","Scadenza")</f>
        <v/>
      </c>
      <c r="F118" s="0" t="str">
        <f aca="true">IF(B118="","",IF(B118&lt;TODAY(),B118+ROW()/100000,""))</f>
        <v/>
      </c>
    </row>
    <row r="119" customFormat="false" ht="15" hidden="false" customHeight="false" outlineLevel="0" collapsed="false">
      <c r="A119" s="0" t="str">
        <f aca="true">IF(B119="","",IF(B119&gt;=TODAY(),B119+ROW()/100000,""))</f>
        <v/>
      </c>
      <c r="B119" s="0" t="str">
        <f aca="false">IF(AND(Scadenze!E122&lt;&gt;"",Scadenze!H122&lt;&gt;"☑"),Scadenze!E122,"")</f>
        <v/>
      </c>
      <c r="C119" s="0" t="str">
        <f aca="false">IF(B119="","",Scadenze!A122)</f>
        <v/>
      </c>
      <c r="D119" s="0" t="str">
        <f aca="false">IF(B119="","",Scadenze!B122)</f>
        <v/>
      </c>
      <c r="E119" s="0" t="str">
        <f aca="false">IF(B119="","","Scadenza")</f>
        <v/>
      </c>
      <c r="F119" s="0" t="str">
        <f aca="true">IF(B119="","",IF(B119&lt;TODAY(),B119+ROW()/100000,""))</f>
        <v/>
      </c>
    </row>
    <row r="120" customFormat="false" ht="15" hidden="false" customHeight="false" outlineLevel="0" collapsed="false">
      <c r="A120" s="0" t="str">
        <f aca="true">IF(B120="","",IF(B120&gt;=TODAY(),B120+ROW()/100000,""))</f>
        <v/>
      </c>
      <c r="B120" s="0" t="str">
        <f aca="false">IF(AND(Scadenze!E123&lt;&gt;"",Scadenze!H123&lt;&gt;"☑"),Scadenze!E123,"")</f>
        <v/>
      </c>
      <c r="C120" s="0" t="str">
        <f aca="false">IF(B120="","",Scadenze!A123)</f>
        <v/>
      </c>
      <c r="D120" s="0" t="str">
        <f aca="false">IF(B120="","",Scadenze!B123)</f>
        <v/>
      </c>
      <c r="E120" s="0" t="str">
        <f aca="false">IF(B120="","","Scadenza")</f>
        <v/>
      </c>
      <c r="F120" s="0" t="str">
        <f aca="true">IF(B120="","",IF(B120&lt;TODAY(),B120+ROW()/100000,""))</f>
        <v/>
      </c>
    </row>
    <row r="121" customFormat="false" ht="15" hidden="false" customHeight="false" outlineLevel="0" collapsed="false">
      <c r="A121" s="0" t="str">
        <f aca="true">IF(B121="","",IF(B121&gt;=TODAY(),B121+ROW()/100000,""))</f>
        <v/>
      </c>
      <c r="B121" s="0" t="str">
        <f aca="false">IF(AND(Scadenze!E124&lt;&gt;"",Scadenze!H124&lt;&gt;"☑"),Scadenze!E124,"")</f>
        <v/>
      </c>
      <c r="C121" s="0" t="str">
        <f aca="false">IF(B121="","",Scadenze!A124)</f>
        <v/>
      </c>
      <c r="D121" s="0" t="str">
        <f aca="false">IF(B121="","",Scadenze!B124)</f>
        <v/>
      </c>
      <c r="E121" s="0" t="str">
        <f aca="false">IF(B121="","","Scadenza")</f>
        <v/>
      </c>
      <c r="F121" s="0" t="str">
        <f aca="true">IF(B121="","",IF(B121&lt;TODAY(),B121+ROW()/100000,""))</f>
        <v/>
      </c>
    </row>
    <row r="122" customFormat="false" ht="15" hidden="false" customHeight="false" outlineLevel="0" collapsed="false">
      <c r="A122" s="0" t="str">
        <f aca="true">IF(B122="","",IF(B122&gt;=TODAY(),B122+ROW()/100000,""))</f>
        <v/>
      </c>
      <c r="B122" s="0" t="str">
        <f aca="false">IF(AND(Scadenze!E125&lt;&gt;"",Scadenze!H125&lt;&gt;"☑"),Scadenze!E125,"")</f>
        <v/>
      </c>
      <c r="C122" s="0" t="str">
        <f aca="false">IF(B122="","",Scadenze!A125)</f>
        <v/>
      </c>
      <c r="D122" s="0" t="str">
        <f aca="false">IF(B122="","",Scadenze!B125)</f>
        <v/>
      </c>
      <c r="E122" s="0" t="str">
        <f aca="false">IF(B122="","","Scadenza")</f>
        <v/>
      </c>
      <c r="F122" s="0" t="str">
        <f aca="true">IF(B122="","",IF(B122&lt;TODAY(),B122+ROW()/100000,""))</f>
        <v/>
      </c>
    </row>
    <row r="123" customFormat="false" ht="15" hidden="false" customHeight="false" outlineLevel="0" collapsed="false">
      <c r="A123" s="0" t="str">
        <f aca="true">IF(B123="","",IF(B123&gt;=TODAY(),B123+ROW()/100000,""))</f>
        <v/>
      </c>
      <c r="B123" s="0" t="str">
        <f aca="false">IF(AND(Scadenze!E126&lt;&gt;"",Scadenze!H126&lt;&gt;"☑"),Scadenze!E126,"")</f>
        <v/>
      </c>
      <c r="C123" s="0" t="str">
        <f aca="false">IF(B123="","",Scadenze!A126)</f>
        <v/>
      </c>
      <c r="D123" s="0" t="str">
        <f aca="false">IF(B123="","",Scadenze!B126)</f>
        <v/>
      </c>
      <c r="E123" s="0" t="str">
        <f aca="false">IF(B123="","","Scadenza")</f>
        <v/>
      </c>
      <c r="F123" s="0" t="str">
        <f aca="true">IF(B123="","",IF(B123&lt;TODAY(),B123+ROW()/100000,""))</f>
        <v/>
      </c>
    </row>
    <row r="124" customFormat="false" ht="15" hidden="false" customHeight="false" outlineLevel="0" collapsed="false">
      <c r="A124" s="0" t="str">
        <f aca="true">IF(B124="","",IF(B124&gt;=TODAY(),B124+ROW()/100000,""))</f>
        <v/>
      </c>
      <c r="B124" s="0" t="str">
        <f aca="false">IF(AND(Scadenze!E127&lt;&gt;"",Scadenze!H127&lt;&gt;"☑"),Scadenze!E127,"")</f>
        <v/>
      </c>
      <c r="C124" s="0" t="str">
        <f aca="false">IF(B124="","",Scadenze!A127)</f>
        <v/>
      </c>
      <c r="D124" s="0" t="str">
        <f aca="false">IF(B124="","",Scadenze!B127)</f>
        <v/>
      </c>
      <c r="E124" s="0" t="str">
        <f aca="false">IF(B124="","","Scadenza")</f>
        <v/>
      </c>
      <c r="F124" s="0" t="str">
        <f aca="true">IF(B124="","",IF(B124&lt;TODAY(),B124+ROW()/100000,""))</f>
        <v/>
      </c>
    </row>
    <row r="125" customFormat="false" ht="15" hidden="false" customHeight="false" outlineLevel="0" collapsed="false">
      <c r="A125" s="0" t="str">
        <f aca="true">IF(B125="","",IF(B125&gt;=TODAY(),B125+ROW()/100000,""))</f>
        <v/>
      </c>
      <c r="B125" s="0" t="str">
        <f aca="false">IF(AND(Scadenze!E128&lt;&gt;"",Scadenze!H128&lt;&gt;"☑"),Scadenze!E128,"")</f>
        <v/>
      </c>
      <c r="C125" s="0" t="str">
        <f aca="false">IF(B125="","",Scadenze!A128)</f>
        <v/>
      </c>
      <c r="D125" s="0" t="str">
        <f aca="false">IF(B125="","",Scadenze!B128)</f>
        <v/>
      </c>
      <c r="E125" s="0" t="str">
        <f aca="false">IF(B125="","","Scadenza")</f>
        <v/>
      </c>
      <c r="F125" s="0" t="str">
        <f aca="true">IF(B125="","",IF(B125&lt;TODAY(),B125+ROW()/100000,""))</f>
        <v/>
      </c>
    </row>
    <row r="126" customFormat="false" ht="15" hidden="false" customHeight="false" outlineLevel="0" collapsed="false">
      <c r="A126" s="0" t="str">
        <f aca="true">IF(B126="","",IF(B126&gt;=TODAY(),B126+ROW()/100000,""))</f>
        <v/>
      </c>
      <c r="B126" s="0" t="str">
        <f aca="false">IF(AND(Scadenze!E129&lt;&gt;"",Scadenze!H129&lt;&gt;"☑"),Scadenze!E129,"")</f>
        <v/>
      </c>
      <c r="C126" s="0" t="str">
        <f aca="false">IF(B126="","",Scadenze!A129)</f>
        <v/>
      </c>
      <c r="D126" s="0" t="str">
        <f aca="false">IF(B126="","",Scadenze!B129)</f>
        <v/>
      </c>
      <c r="E126" s="0" t="str">
        <f aca="false">IF(B126="","","Scadenza")</f>
        <v/>
      </c>
      <c r="F126" s="0" t="str">
        <f aca="true">IF(B126="","",IF(B126&lt;TODAY(),B126+ROW()/100000,""))</f>
        <v/>
      </c>
    </row>
    <row r="127" customFormat="false" ht="15" hidden="false" customHeight="false" outlineLevel="0" collapsed="false">
      <c r="A127" s="0" t="str">
        <f aca="true">IF(B127="","",IF(B127&gt;=TODAY(),B127+ROW()/100000,""))</f>
        <v/>
      </c>
      <c r="B127" s="0" t="str">
        <f aca="false">IF(AND(Scadenze!E130&lt;&gt;"",Scadenze!H130&lt;&gt;"☑"),Scadenze!E130,"")</f>
        <v/>
      </c>
      <c r="C127" s="0" t="str">
        <f aca="false">IF(B127="","",Scadenze!A130)</f>
        <v/>
      </c>
      <c r="D127" s="0" t="str">
        <f aca="false">IF(B127="","",Scadenze!B130)</f>
        <v/>
      </c>
      <c r="E127" s="0" t="str">
        <f aca="false">IF(B127="","","Scadenza")</f>
        <v/>
      </c>
      <c r="F127" s="0" t="str">
        <f aca="true">IF(B127="","",IF(B127&lt;TODAY(),B127+ROW()/100000,""))</f>
        <v/>
      </c>
    </row>
    <row r="128" customFormat="false" ht="15" hidden="false" customHeight="false" outlineLevel="0" collapsed="false">
      <c r="A128" s="0" t="str">
        <f aca="true">IF(B128="","",IF(B128&gt;=TODAY(),B128+ROW()/100000,""))</f>
        <v/>
      </c>
      <c r="B128" s="0" t="str">
        <f aca="false">IF(AND(Scadenze!E131&lt;&gt;"",Scadenze!H131&lt;&gt;"☑"),Scadenze!E131,"")</f>
        <v/>
      </c>
      <c r="C128" s="0" t="str">
        <f aca="false">IF(B128="","",Scadenze!A131)</f>
        <v/>
      </c>
      <c r="D128" s="0" t="str">
        <f aca="false">IF(B128="","",Scadenze!B131)</f>
        <v/>
      </c>
      <c r="E128" s="0" t="str">
        <f aca="false">IF(B128="","","Scadenza")</f>
        <v/>
      </c>
      <c r="F128" s="0" t="str">
        <f aca="true">IF(B128="","",IF(B128&lt;TODAY(),B128+ROW()/100000,""))</f>
        <v/>
      </c>
    </row>
    <row r="129" customFormat="false" ht="15" hidden="false" customHeight="false" outlineLevel="0" collapsed="false">
      <c r="A129" s="0" t="str">
        <f aca="true">IF(B129="","",IF(B129&gt;=TODAY(),B129+ROW()/100000,""))</f>
        <v/>
      </c>
      <c r="B129" s="0" t="str">
        <f aca="false">IF(AND(Scadenze!E132&lt;&gt;"",Scadenze!H132&lt;&gt;"☑"),Scadenze!E132,"")</f>
        <v/>
      </c>
      <c r="C129" s="0" t="str">
        <f aca="false">IF(B129="","",Scadenze!A132)</f>
        <v/>
      </c>
      <c r="D129" s="0" t="str">
        <f aca="false">IF(B129="","",Scadenze!B132)</f>
        <v/>
      </c>
      <c r="E129" s="0" t="str">
        <f aca="false">IF(B129="","","Scadenza")</f>
        <v/>
      </c>
      <c r="F129" s="0" t="str">
        <f aca="true">IF(B129="","",IF(B129&lt;TODAY(),B129+ROW()/100000,""))</f>
        <v/>
      </c>
    </row>
    <row r="130" customFormat="false" ht="15" hidden="false" customHeight="false" outlineLevel="0" collapsed="false">
      <c r="A130" s="0" t="str">
        <f aca="true">IF(B130="","",IF(B130&gt;=TODAY(),B130+ROW()/100000,""))</f>
        <v/>
      </c>
      <c r="B130" s="0" t="str">
        <f aca="false">IF(AND(Scadenze!E133&lt;&gt;"",Scadenze!H133&lt;&gt;"☑"),Scadenze!E133,"")</f>
        <v/>
      </c>
      <c r="C130" s="0" t="str">
        <f aca="false">IF(B130="","",Scadenze!A133)</f>
        <v/>
      </c>
      <c r="D130" s="0" t="str">
        <f aca="false">IF(B130="","",Scadenze!B133)</f>
        <v/>
      </c>
      <c r="E130" s="0" t="str">
        <f aca="false">IF(B130="","","Scadenza")</f>
        <v/>
      </c>
      <c r="F130" s="0" t="str">
        <f aca="true">IF(B130="","",IF(B130&lt;TODAY(),B130+ROW()/100000,""))</f>
        <v/>
      </c>
    </row>
    <row r="131" customFormat="false" ht="15" hidden="false" customHeight="false" outlineLevel="0" collapsed="false">
      <c r="A131" s="0" t="str">
        <f aca="true">IF(B131="","",IF(B131&gt;=TODAY(),B131+ROW()/100000,""))</f>
        <v/>
      </c>
      <c r="B131" s="0" t="str">
        <f aca="false">IF(AND(Scadenze!E134&lt;&gt;"",Scadenze!H134&lt;&gt;"☑"),Scadenze!E134,"")</f>
        <v/>
      </c>
      <c r="C131" s="0" t="str">
        <f aca="false">IF(B131="","",Scadenze!A134)</f>
        <v/>
      </c>
      <c r="D131" s="0" t="str">
        <f aca="false">IF(B131="","",Scadenze!B134)</f>
        <v/>
      </c>
      <c r="E131" s="0" t="str">
        <f aca="false">IF(B131="","","Scadenza")</f>
        <v/>
      </c>
      <c r="F131" s="0" t="str">
        <f aca="true">IF(B131="","",IF(B131&lt;TODAY(),B131+ROW()/100000,""))</f>
        <v/>
      </c>
    </row>
    <row r="132" customFormat="false" ht="15" hidden="false" customHeight="false" outlineLevel="0" collapsed="false">
      <c r="A132" s="0" t="str">
        <f aca="true">IF(B132="","",IF(B132&gt;=TODAY(),B132+ROW()/100000,""))</f>
        <v/>
      </c>
      <c r="B132" s="0" t="str">
        <f aca="false">IF(AND(Scadenze!E135&lt;&gt;"",Scadenze!H135&lt;&gt;"☑"),Scadenze!E135,"")</f>
        <v/>
      </c>
      <c r="C132" s="0" t="str">
        <f aca="false">IF(B132="","",Scadenze!A135)</f>
        <v/>
      </c>
      <c r="D132" s="0" t="str">
        <f aca="false">IF(B132="","",Scadenze!B135)</f>
        <v/>
      </c>
      <c r="E132" s="0" t="str">
        <f aca="false">IF(B132="","","Scadenza")</f>
        <v/>
      </c>
      <c r="F132" s="0" t="str">
        <f aca="true">IF(B132="","",IF(B132&lt;TODAY(),B132+ROW()/100000,""))</f>
        <v/>
      </c>
    </row>
    <row r="133" customFormat="false" ht="15" hidden="false" customHeight="false" outlineLevel="0" collapsed="false">
      <c r="A133" s="0" t="str">
        <f aca="true">IF(B133="","",IF(B133&gt;=TODAY(),B133+ROW()/100000,""))</f>
        <v/>
      </c>
      <c r="B133" s="0" t="str">
        <f aca="false">IF(AND(Scadenze!E136&lt;&gt;"",Scadenze!H136&lt;&gt;"☑"),Scadenze!E136,"")</f>
        <v/>
      </c>
      <c r="C133" s="0" t="str">
        <f aca="false">IF(B133="","",Scadenze!A136)</f>
        <v/>
      </c>
      <c r="D133" s="0" t="str">
        <f aca="false">IF(B133="","",Scadenze!B136)</f>
        <v/>
      </c>
      <c r="E133" s="0" t="str">
        <f aca="false">IF(B133="","","Scadenza")</f>
        <v/>
      </c>
      <c r="F133" s="0" t="str">
        <f aca="true">IF(B133="","",IF(B133&lt;TODAY(),B133+ROW()/100000,""))</f>
        <v/>
      </c>
    </row>
    <row r="134" customFormat="false" ht="15" hidden="false" customHeight="false" outlineLevel="0" collapsed="false">
      <c r="A134" s="0" t="str">
        <f aca="true">IF(B134="","",IF(B134&gt;=TODAY(),B134+ROW()/100000,""))</f>
        <v/>
      </c>
      <c r="B134" s="0" t="str">
        <f aca="false">IF(AND(Scadenze!E137&lt;&gt;"",Scadenze!H137&lt;&gt;"☑"),Scadenze!E137,"")</f>
        <v/>
      </c>
      <c r="C134" s="0" t="str">
        <f aca="false">IF(B134="","",Scadenze!A137)</f>
        <v/>
      </c>
      <c r="D134" s="0" t="str">
        <f aca="false">IF(B134="","",Scadenze!B137)</f>
        <v/>
      </c>
      <c r="E134" s="0" t="str">
        <f aca="false">IF(B134="","","Scadenza")</f>
        <v/>
      </c>
      <c r="F134" s="0" t="str">
        <f aca="true">IF(B134="","",IF(B134&lt;TODAY(),B134+ROW()/100000,""))</f>
        <v/>
      </c>
    </row>
    <row r="135" customFormat="false" ht="15" hidden="false" customHeight="false" outlineLevel="0" collapsed="false">
      <c r="A135" s="0" t="str">
        <f aca="true">IF(B135="","",IF(B135&gt;=TODAY(),B135+ROW()/100000,""))</f>
        <v/>
      </c>
      <c r="B135" s="0" t="str">
        <f aca="false">IF(AND(Scadenze!E138&lt;&gt;"",Scadenze!H138&lt;&gt;"☑"),Scadenze!E138,"")</f>
        <v/>
      </c>
      <c r="C135" s="0" t="str">
        <f aca="false">IF(B135="","",Scadenze!A138)</f>
        <v/>
      </c>
      <c r="D135" s="0" t="str">
        <f aca="false">IF(B135="","",Scadenze!B138)</f>
        <v/>
      </c>
      <c r="E135" s="0" t="str">
        <f aca="false">IF(B135="","","Scadenza")</f>
        <v/>
      </c>
      <c r="F135" s="0" t="str">
        <f aca="true">IF(B135="","",IF(B135&lt;TODAY(),B135+ROW()/100000,""))</f>
        <v/>
      </c>
    </row>
    <row r="136" customFormat="false" ht="15" hidden="false" customHeight="false" outlineLevel="0" collapsed="false">
      <c r="A136" s="0" t="str">
        <f aca="true">IF(B136="","",IF(B136&gt;=TODAY(),B136+ROW()/100000,""))</f>
        <v/>
      </c>
      <c r="B136" s="0" t="str">
        <f aca="false">IF(AND(Scadenze!E139&lt;&gt;"",Scadenze!H139&lt;&gt;"☑"),Scadenze!E139,"")</f>
        <v/>
      </c>
      <c r="C136" s="0" t="str">
        <f aca="false">IF(B136="","",Scadenze!A139)</f>
        <v/>
      </c>
      <c r="D136" s="0" t="str">
        <f aca="false">IF(B136="","",Scadenze!B139)</f>
        <v/>
      </c>
      <c r="E136" s="0" t="str">
        <f aca="false">IF(B136="","","Scadenza")</f>
        <v/>
      </c>
      <c r="F136" s="0" t="str">
        <f aca="true">IF(B136="","",IF(B136&lt;TODAY(),B136+ROW()/100000,""))</f>
        <v/>
      </c>
    </row>
    <row r="137" customFormat="false" ht="15" hidden="false" customHeight="false" outlineLevel="0" collapsed="false">
      <c r="A137" s="0" t="str">
        <f aca="true">IF(B137="","",IF(B137&gt;=TODAY(),B137+ROW()/100000,""))</f>
        <v/>
      </c>
      <c r="B137" s="0" t="str">
        <f aca="false">IF(AND(Scadenze!E140&lt;&gt;"",Scadenze!H140&lt;&gt;"☑"),Scadenze!E140,"")</f>
        <v/>
      </c>
      <c r="C137" s="0" t="str">
        <f aca="false">IF(B137="","",Scadenze!A140)</f>
        <v/>
      </c>
      <c r="D137" s="0" t="str">
        <f aca="false">IF(B137="","",Scadenze!B140)</f>
        <v/>
      </c>
      <c r="E137" s="0" t="str">
        <f aca="false">IF(B137="","","Scadenza")</f>
        <v/>
      </c>
      <c r="F137" s="0" t="str">
        <f aca="true">IF(B137="","",IF(B137&lt;TODAY(),B137+ROW()/100000,""))</f>
        <v/>
      </c>
    </row>
    <row r="138" customFormat="false" ht="15" hidden="false" customHeight="false" outlineLevel="0" collapsed="false">
      <c r="A138" s="0" t="str">
        <f aca="true">IF(B138="","",IF(B138&gt;=TODAY(),B138+ROW()/100000,""))</f>
        <v/>
      </c>
      <c r="B138" s="0" t="str">
        <f aca="false">IF(AND(Scadenze!E141&lt;&gt;"",Scadenze!H141&lt;&gt;"☑"),Scadenze!E141,"")</f>
        <v/>
      </c>
      <c r="C138" s="0" t="str">
        <f aca="false">IF(B138="","",Scadenze!A141)</f>
        <v/>
      </c>
      <c r="D138" s="0" t="str">
        <f aca="false">IF(B138="","",Scadenze!B141)</f>
        <v/>
      </c>
      <c r="E138" s="0" t="str">
        <f aca="false">IF(B138="","","Scadenza")</f>
        <v/>
      </c>
      <c r="F138" s="0" t="str">
        <f aca="true">IF(B138="","",IF(B138&lt;TODAY(),B138+ROW()/100000,""))</f>
        <v/>
      </c>
    </row>
    <row r="139" customFormat="false" ht="15" hidden="false" customHeight="false" outlineLevel="0" collapsed="false">
      <c r="A139" s="0" t="str">
        <f aca="true">IF(B139="","",IF(B139&gt;=TODAY(),B139+ROW()/100000,""))</f>
        <v/>
      </c>
      <c r="B139" s="0" t="str">
        <f aca="false">IF(AND(Scadenze!E142&lt;&gt;"",Scadenze!H142&lt;&gt;"☑"),Scadenze!E142,"")</f>
        <v/>
      </c>
      <c r="C139" s="0" t="str">
        <f aca="false">IF(B139="","",Scadenze!A142)</f>
        <v/>
      </c>
      <c r="D139" s="0" t="str">
        <f aca="false">IF(B139="","",Scadenze!B142)</f>
        <v/>
      </c>
      <c r="E139" s="0" t="str">
        <f aca="false">IF(B139="","","Scadenza")</f>
        <v/>
      </c>
      <c r="F139" s="0" t="str">
        <f aca="true">IF(B139="","",IF(B139&lt;TODAY(),B139+ROW()/100000,""))</f>
        <v/>
      </c>
    </row>
    <row r="140" customFormat="false" ht="15" hidden="false" customHeight="false" outlineLevel="0" collapsed="false">
      <c r="A140" s="0" t="str">
        <f aca="true">IF(B140="","",IF(B140&gt;=TODAY(),B140+ROW()/100000,""))</f>
        <v/>
      </c>
      <c r="B140" s="0" t="str">
        <f aca="false">IF(AND(Scadenze!E143&lt;&gt;"",Scadenze!H143&lt;&gt;"☑"),Scadenze!E143,"")</f>
        <v/>
      </c>
      <c r="C140" s="0" t="str">
        <f aca="false">IF(B140="","",Scadenze!A143)</f>
        <v/>
      </c>
      <c r="D140" s="0" t="str">
        <f aca="false">IF(B140="","",Scadenze!B143)</f>
        <v/>
      </c>
      <c r="E140" s="0" t="str">
        <f aca="false">IF(B140="","","Scadenza")</f>
        <v/>
      </c>
      <c r="F140" s="0" t="str">
        <f aca="true">IF(B140="","",IF(B140&lt;TODAY(),B140+ROW()/100000,""))</f>
        <v/>
      </c>
    </row>
    <row r="141" customFormat="false" ht="15" hidden="false" customHeight="false" outlineLevel="0" collapsed="false">
      <c r="A141" s="0" t="str">
        <f aca="true">IF(B141="","",IF(B141&gt;=TODAY(),B141+ROW()/100000,""))</f>
        <v/>
      </c>
      <c r="B141" s="0" t="str">
        <f aca="false">IF(AND(Scadenze!E144&lt;&gt;"",Scadenze!H144&lt;&gt;"☑"),Scadenze!E144,"")</f>
        <v/>
      </c>
      <c r="C141" s="0" t="str">
        <f aca="false">IF(B141="","",Scadenze!A144)</f>
        <v/>
      </c>
      <c r="D141" s="0" t="str">
        <f aca="false">IF(B141="","",Scadenze!B144)</f>
        <v/>
      </c>
      <c r="E141" s="0" t="str">
        <f aca="false">IF(B141="","","Scadenza")</f>
        <v/>
      </c>
      <c r="F141" s="0" t="str">
        <f aca="true">IF(B141="","",IF(B141&lt;TODAY(),B141+ROW()/100000,""))</f>
        <v/>
      </c>
    </row>
    <row r="142" customFormat="false" ht="15" hidden="false" customHeight="false" outlineLevel="0" collapsed="false">
      <c r="A142" s="0" t="str">
        <f aca="true">IF(B142="","",IF(B142&gt;=TODAY(),B142+ROW()/100000,""))</f>
        <v/>
      </c>
      <c r="B142" s="0" t="str">
        <f aca="false">IF(AND(Scadenze!E145&lt;&gt;"",Scadenze!H145&lt;&gt;"☑"),Scadenze!E145,"")</f>
        <v/>
      </c>
      <c r="C142" s="0" t="str">
        <f aca="false">IF(B142="","",Scadenze!A145)</f>
        <v/>
      </c>
      <c r="D142" s="0" t="str">
        <f aca="false">IF(B142="","",Scadenze!B145)</f>
        <v/>
      </c>
      <c r="E142" s="0" t="str">
        <f aca="false">IF(B142="","","Scadenza")</f>
        <v/>
      </c>
      <c r="F142" s="0" t="str">
        <f aca="true">IF(B142="","",IF(B142&lt;TODAY(),B142+ROW()/100000,""))</f>
        <v/>
      </c>
    </row>
    <row r="143" customFormat="false" ht="15" hidden="false" customHeight="false" outlineLevel="0" collapsed="false">
      <c r="A143" s="0" t="str">
        <f aca="true">IF(B143="","",IF(B143&gt;=TODAY(),B143+ROW()/100000,""))</f>
        <v/>
      </c>
      <c r="B143" s="0" t="str">
        <f aca="false">IF(AND(Scadenze!E146&lt;&gt;"",Scadenze!H146&lt;&gt;"☑"),Scadenze!E146,"")</f>
        <v/>
      </c>
      <c r="C143" s="0" t="str">
        <f aca="false">IF(B143="","",Scadenze!A146)</f>
        <v/>
      </c>
      <c r="D143" s="0" t="str">
        <f aca="false">IF(B143="","",Scadenze!B146)</f>
        <v/>
      </c>
      <c r="E143" s="0" t="str">
        <f aca="false">IF(B143="","","Scadenza")</f>
        <v/>
      </c>
      <c r="F143" s="0" t="str">
        <f aca="true">IF(B143="","",IF(B143&lt;TODAY(),B143+ROW()/100000,""))</f>
        <v/>
      </c>
    </row>
    <row r="144" customFormat="false" ht="15" hidden="false" customHeight="false" outlineLevel="0" collapsed="false">
      <c r="A144" s="0" t="str">
        <f aca="true">IF(B144="","",IF(B144&gt;=TODAY(),B144+ROW()/100000,""))</f>
        <v/>
      </c>
      <c r="B144" s="0" t="str">
        <f aca="false">IF(AND(Scadenze!E147&lt;&gt;"",Scadenze!H147&lt;&gt;"☑"),Scadenze!E147,"")</f>
        <v/>
      </c>
      <c r="C144" s="0" t="str">
        <f aca="false">IF(B144="","",Scadenze!A147)</f>
        <v/>
      </c>
      <c r="D144" s="0" t="str">
        <f aca="false">IF(B144="","",Scadenze!B147)</f>
        <v/>
      </c>
      <c r="E144" s="0" t="str">
        <f aca="false">IF(B144="","","Scadenza")</f>
        <v/>
      </c>
      <c r="F144" s="0" t="str">
        <f aca="true">IF(B144="","",IF(B144&lt;TODAY(),B144+ROW()/100000,""))</f>
        <v/>
      </c>
    </row>
    <row r="145" customFormat="false" ht="15" hidden="false" customHeight="false" outlineLevel="0" collapsed="false">
      <c r="A145" s="0" t="str">
        <f aca="true">IF(B145="","",IF(B145&gt;=TODAY(),B145+ROW()/100000,""))</f>
        <v/>
      </c>
      <c r="B145" s="0" t="str">
        <f aca="false">IF(AND(Scadenze!E148&lt;&gt;"",Scadenze!H148&lt;&gt;"☑"),Scadenze!E148,"")</f>
        <v/>
      </c>
      <c r="C145" s="0" t="str">
        <f aca="false">IF(B145="","",Scadenze!A148)</f>
        <v/>
      </c>
      <c r="D145" s="0" t="str">
        <f aca="false">IF(B145="","",Scadenze!B148)</f>
        <v/>
      </c>
      <c r="E145" s="0" t="str">
        <f aca="false">IF(B145="","","Scadenza")</f>
        <v/>
      </c>
      <c r="F145" s="0" t="str">
        <f aca="true">IF(B145="","",IF(B145&lt;TODAY(),B145+ROW()/100000,""))</f>
        <v/>
      </c>
    </row>
    <row r="146" customFormat="false" ht="15" hidden="false" customHeight="false" outlineLevel="0" collapsed="false">
      <c r="A146" s="0" t="str">
        <f aca="true">IF(B146="","",IF(B146&gt;=TODAY(),B146+ROW()/100000,""))</f>
        <v/>
      </c>
      <c r="B146" s="0" t="str">
        <f aca="false">IF(AND(Scadenze!E149&lt;&gt;"",Scadenze!H149&lt;&gt;"☑"),Scadenze!E149,"")</f>
        <v/>
      </c>
      <c r="C146" s="0" t="str">
        <f aca="false">IF(B146="","",Scadenze!A149)</f>
        <v/>
      </c>
      <c r="D146" s="0" t="str">
        <f aca="false">IF(B146="","",Scadenze!B149)</f>
        <v/>
      </c>
      <c r="E146" s="0" t="str">
        <f aca="false">IF(B146="","","Scadenza")</f>
        <v/>
      </c>
      <c r="F146" s="0" t="str">
        <f aca="true">IF(B146="","",IF(B146&lt;TODAY(),B146+ROW()/100000,""))</f>
        <v/>
      </c>
    </row>
    <row r="147" customFormat="false" ht="15" hidden="false" customHeight="false" outlineLevel="0" collapsed="false">
      <c r="A147" s="0" t="str">
        <f aca="true">IF(B147="","",IF(B147&gt;=TODAY(),B147+ROW()/100000,""))</f>
        <v/>
      </c>
      <c r="B147" s="0" t="str">
        <f aca="false">IF(AND(Scadenze!E150&lt;&gt;"",Scadenze!H150&lt;&gt;"☑"),Scadenze!E150,"")</f>
        <v/>
      </c>
      <c r="C147" s="0" t="str">
        <f aca="false">IF(B147="","",Scadenze!A150)</f>
        <v/>
      </c>
      <c r="D147" s="0" t="str">
        <f aca="false">IF(B147="","",Scadenze!B150)</f>
        <v/>
      </c>
      <c r="E147" s="0" t="str">
        <f aca="false">IF(B147="","","Scadenza")</f>
        <v/>
      </c>
      <c r="F147" s="0" t="str">
        <f aca="true">IF(B147="","",IF(B147&lt;TODAY(),B147+ROW()/100000,""))</f>
        <v/>
      </c>
    </row>
    <row r="148" customFormat="false" ht="15" hidden="false" customHeight="false" outlineLevel="0" collapsed="false">
      <c r="A148" s="0" t="str">
        <f aca="true">IF(B148="","",IF(B148&gt;=TODAY(),B148+ROW()/100000,""))</f>
        <v/>
      </c>
      <c r="B148" s="0" t="str">
        <f aca="false">IF(AND(Scadenze!E151&lt;&gt;"",Scadenze!H151&lt;&gt;"☑"),Scadenze!E151,"")</f>
        <v/>
      </c>
      <c r="C148" s="0" t="str">
        <f aca="false">IF(B148="","",Scadenze!A151)</f>
        <v/>
      </c>
      <c r="D148" s="0" t="str">
        <f aca="false">IF(B148="","",Scadenze!B151)</f>
        <v/>
      </c>
      <c r="E148" s="0" t="str">
        <f aca="false">IF(B148="","","Scadenza")</f>
        <v/>
      </c>
      <c r="F148" s="0" t="str">
        <f aca="true">IF(B148="","",IF(B148&lt;TODAY(),B148+ROW()/100000,""))</f>
        <v/>
      </c>
    </row>
    <row r="149" customFormat="false" ht="15" hidden="false" customHeight="false" outlineLevel="0" collapsed="false">
      <c r="A149" s="0" t="str">
        <f aca="true">IF(B149="","",IF(B149&gt;=TODAY(),B149+ROW()/100000,""))</f>
        <v/>
      </c>
      <c r="B149" s="0" t="str">
        <f aca="false">IF(AND(Scadenze!E152&lt;&gt;"",Scadenze!H152&lt;&gt;"☑"),Scadenze!E152,"")</f>
        <v/>
      </c>
      <c r="C149" s="0" t="str">
        <f aca="false">IF(B149="","",Scadenze!A152)</f>
        <v/>
      </c>
      <c r="D149" s="0" t="str">
        <f aca="false">IF(B149="","",Scadenze!B152)</f>
        <v/>
      </c>
      <c r="E149" s="0" t="str">
        <f aca="false">IF(B149="","","Scadenza")</f>
        <v/>
      </c>
      <c r="F149" s="0" t="str">
        <f aca="true">IF(B149="","",IF(B149&lt;TODAY(),B149+ROW()/100000,""))</f>
        <v/>
      </c>
    </row>
    <row r="150" customFormat="false" ht="15" hidden="false" customHeight="false" outlineLevel="0" collapsed="false">
      <c r="A150" s="0" t="str">
        <f aca="true">IF(B150="","",IF(B150&gt;=TODAY(),B150+ROW()/100000,""))</f>
        <v/>
      </c>
      <c r="B150" s="0" t="str">
        <f aca="false">IF(AND(Scadenze!E153&lt;&gt;"",Scadenze!H153&lt;&gt;"☑"),Scadenze!E153,"")</f>
        <v/>
      </c>
      <c r="C150" s="0" t="str">
        <f aca="false">IF(B150="","",Scadenze!A153)</f>
        <v/>
      </c>
      <c r="D150" s="0" t="str">
        <f aca="false">IF(B150="","",Scadenze!B153)</f>
        <v/>
      </c>
      <c r="E150" s="0" t="str">
        <f aca="false">IF(B150="","","Scadenza")</f>
        <v/>
      </c>
      <c r="F150" s="0" t="str">
        <f aca="true">IF(B150="","",IF(B150&lt;TODAY(),B150+ROW()/100000,""))</f>
        <v/>
      </c>
    </row>
    <row r="151" customFormat="false" ht="15" hidden="false" customHeight="false" outlineLevel="0" collapsed="false">
      <c r="A151" s="0" t="str">
        <f aca="true">IF(B151="","",IF(B151&gt;=TODAY(),B151+ROW()/100000,""))</f>
        <v/>
      </c>
      <c r="B151" s="0" t="str">
        <f aca="false">IF(AND(Scadenze!E154&lt;&gt;"",Scadenze!H154&lt;&gt;"☑"),Scadenze!E154,"")</f>
        <v/>
      </c>
      <c r="C151" s="0" t="str">
        <f aca="false">IF(B151="","",Scadenze!A154)</f>
        <v/>
      </c>
      <c r="D151" s="0" t="str">
        <f aca="false">IF(B151="","",Scadenze!B154)</f>
        <v/>
      </c>
      <c r="E151" s="0" t="str">
        <f aca="false">IF(B151="","","Scadenza")</f>
        <v/>
      </c>
      <c r="F151" s="0" t="str">
        <f aca="true">IF(B151="","",IF(B151&lt;TODAY(),B151+ROW()/100000,""))</f>
        <v/>
      </c>
    </row>
    <row r="152" customFormat="false" ht="15" hidden="false" customHeight="false" outlineLevel="0" collapsed="false">
      <c r="A152" s="0" t="str">
        <f aca="true">IF(B152="","",IF(B152&gt;=TODAY(),B152+ROW()/100000,""))</f>
        <v/>
      </c>
      <c r="B152" s="0" t="str">
        <f aca="false">IF(AND(Scadenze!E155&lt;&gt;"",Scadenze!H155&lt;&gt;"☑"),Scadenze!E155,"")</f>
        <v/>
      </c>
      <c r="C152" s="0" t="str">
        <f aca="false">IF(B152="","",Scadenze!A155)</f>
        <v/>
      </c>
      <c r="D152" s="0" t="str">
        <f aca="false">IF(B152="","",Scadenze!B155)</f>
        <v/>
      </c>
      <c r="E152" s="0" t="str">
        <f aca="false">IF(B152="","","Scadenza")</f>
        <v/>
      </c>
      <c r="F152" s="0" t="str">
        <f aca="true">IF(B152="","",IF(B152&lt;TODAY(),B152+ROW()/100000,""))</f>
        <v/>
      </c>
    </row>
    <row r="153" customFormat="false" ht="15" hidden="false" customHeight="false" outlineLevel="0" collapsed="false">
      <c r="A153" s="0" t="str">
        <f aca="true">IF(B153="","",IF(B153&gt;=TODAY(),B153+ROW()/100000,""))</f>
        <v/>
      </c>
      <c r="B153" s="0" t="str">
        <f aca="false">IF(AND(Scadenze!E156&lt;&gt;"",Scadenze!H156&lt;&gt;"☑"),Scadenze!E156,"")</f>
        <v/>
      </c>
      <c r="C153" s="0" t="str">
        <f aca="false">IF(B153="","",Scadenze!A156)</f>
        <v/>
      </c>
      <c r="D153" s="0" t="str">
        <f aca="false">IF(B153="","",Scadenze!B156)</f>
        <v/>
      </c>
      <c r="E153" s="0" t="str">
        <f aca="false">IF(B153="","","Scadenza")</f>
        <v/>
      </c>
      <c r="F153" s="0" t="str">
        <f aca="true">IF(B153="","",IF(B153&lt;TODAY(),B153+ROW()/100000,""))</f>
        <v/>
      </c>
    </row>
    <row r="154" customFormat="false" ht="15" hidden="false" customHeight="false" outlineLevel="0" collapsed="false">
      <c r="A154" s="0" t="str">
        <f aca="true">IF(B154="","",IF(B154&gt;=TODAY(),B154+ROW()/100000,""))</f>
        <v/>
      </c>
      <c r="B154" s="0" t="str">
        <f aca="false">IF(AND(Scadenze!E157&lt;&gt;"",Scadenze!H157&lt;&gt;"☑"),Scadenze!E157,"")</f>
        <v/>
      </c>
      <c r="C154" s="0" t="str">
        <f aca="false">IF(B154="","",Scadenze!A157)</f>
        <v/>
      </c>
      <c r="D154" s="0" t="str">
        <f aca="false">IF(B154="","",Scadenze!B157)</f>
        <v/>
      </c>
      <c r="E154" s="0" t="str">
        <f aca="false">IF(B154="","","Scadenza")</f>
        <v/>
      </c>
      <c r="F154" s="0" t="str">
        <f aca="true">IF(B154="","",IF(B154&lt;TODAY(),B154+ROW()/100000,""))</f>
        <v/>
      </c>
    </row>
    <row r="155" customFormat="false" ht="15" hidden="false" customHeight="false" outlineLevel="0" collapsed="false">
      <c r="A155" s="0" t="str">
        <f aca="true">IF(B155="","",IF(B155&gt;=TODAY(),B155+ROW()/100000,""))</f>
        <v/>
      </c>
      <c r="B155" s="0" t="str">
        <f aca="false">IF(AND(Scadenze!E158&lt;&gt;"",Scadenze!H158&lt;&gt;"☑"),Scadenze!E158,"")</f>
        <v/>
      </c>
      <c r="C155" s="0" t="str">
        <f aca="false">IF(B155="","",Scadenze!A158)</f>
        <v/>
      </c>
      <c r="D155" s="0" t="str">
        <f aca="false">IF(B155="","",Scadenze!B158)</f>
        <v/>
      </c>
      <c r="E155" s="0" t="str">
        <f aca="false">IF(B155="","","Scadenza")</f>
        <v/>
      </c>
      <c r="F155" s="0" t="str">
        <f aca="true">IF(B155="","",IF(B155&lt;TODAY(),B155+ROW()/100000,""))</f>
        <v/>
      </c>
    </row>
    <row r="156" customFormat="false" ht="15" hidden="false" customHeight="false" outlineLevel="0" collapsed="false">
      <c r="A156" s="0" t="str">
        <f aca="true">IF(B156="","",IF(B156&gt;=TODAY(),B156+ROW()/100000,""))</f>
        <v/>
      </c>
      <c r="B156" s="0" t="str">
        <f aca="false">IF(AND(Scadenze!E159&lt;&gt;"",Scadenze!H159&lt;&gt;"☑"),Scadenze!E159,"")</f>
        <v/>
      </c>
      <c r="C156" s="0" t="str">
        <f aca="false">IF(B156="","",Scadenze!A159)</f>
        <v/>
      </c>
      <c r="D156" s="0" t="str">
        <f aca="false">IF(B156="","",Scadenze!B159)</f>
        <v/>
      </c>
      <c r="E156" s="0" t="str">
        <f aca="false">IF(B156="","","Scadenza")</f>
        <v/>
      </c>
      <c r="F156" s="0" t="str">
        <f aca="true">IF(B156="","",IF(B156&lt;TODAY(),B156+ROW()/100000,""))</f>
        <v/>
      </c>
    </row>
    <row r="157" customFormat="false" ht="15" hidden="false" customHeight="false" outlineLevel="0" collapsed="false">
      <c r="A157" s="0" t="str">
        <f aca="true">IF(B157="","",IF(B157&gt;=TODAY(),B157+ROW()/100000,""))</f>
        <v/>
      </c>
      <c r="B157" s="0" t="str">
        <f aca="false">IF(AND(Scadenze!E160&lt;&gt;"",Scadenze!H160&lt;&gt;"☑"),Scadenze!E160,"")</f>
        <v/>
      </c>
      <c r="C157" s="0" t="str">
        <f aca="false">IF(B157="","",Scadenze!A160)</f>
        <v/>
      </c>
      <c r="D157" s="0" t="str">
        <f aca="false">IF(B157="","",Scadenze!B160)</f>
        <v/>
      </c>
      <c r="E157" s="0" t="str">
        <f aca="false">IF(B157="","","Scadenza")</f>
        <v/>
      </c>
      <c r="F157" s="0" t="str">
        <f aca="true">IF(B157="","",IF(B157&lt;TODAY(),B157+ROW()/100000,""))</f>
        <v/>
      </c>
    </row>
    <row r="158" customFormat="false" ht="15" hidden="false" customHeight="false" outlineLevel="0" collapsed="false">
      <c r="A158" s="0" t="str">
        <f aca="true">IF(B158="","",IF(B158&gt;=TODAY(),B158+ROW()/100000,""))</f>
        <v/>
      </c>
      <c r="B158" s="0" t="str">
        <f aca="false">IF(AND(Scadenze!E161&lt;&gt;"",Scadenze!H161&lt;&gt;"☑"),Scadenze!E161,"")</f>
        <v/>
      </c>
      <c r="C158" s="0" t="str">
        <f aca="false">IF(B158="","",Scadenze!A161)</f>
        <v/>
      </c>
      <c r="D158" s="0" t="str">
        <f aca="false">IF(B158="","",Scadenze!B161)</f>
        <v/>
      </c>
      <c r="E158" s="0" t="str">
        <f aca="false">IF(B158="","","Scadenza")</f>
        <v/>
      </c>
      <c r="F158" s="0" t="str">
        <f aca="true">IF(B158="","",IF(B158&lt;TODAY(),B158+ROW()/100000,""))</f>
        <v/>
      </c>
    </row>
    <row r="159" customFormat="false" ht="15" hidden="false" customHeight="false" outlineLevel="0" collapsed="false">
      <c r="A159" s="0" t="str">
        <f aca="true">IF(B159="","",IF(B159&gt;=TODAY(),B159+ROW()/100000,""))</f>
        <v/>
      </c>
      <c r="B159" s="0" t="str">
        <f aca="false">IF(AND(Scadenze!E162&lt;&gt;"",Scadenze!H162&lt;&gt;"☑"),Scadenze!E162,"")</f>
        <v/>
      </c>
      <c r="C159" s="0" t="str">
        <f aca="false">IF(B159="","",Scadenze!A162)</f>
        <v/>
      </c>
      <c r="D159" s="0" t="str">
        <f aca="false">IF(B159="","",Scadenze!B162)</f>
        <v/>
      </c>
      <c r="E159" s="0" t="str">
        <f aca="false">IF(B159="","","Scadenza")</f>
        <v/>
      </c>
      <c r="F159" s="0" t="str">
        <f aca="true">IF(B159="","",IF(B159&lt;TODAY(),B159+ROW()/100000,""))</f>
        <v/>
      </c>
    </row>
    <row r="160" customFormat="false" ht="15" hidden="false" customHeight="false" outlineLevel="0" collapsed="false">
      <c r="A160" s="0" t="str">
        <f aca="true">IF(B160="","",IF(B160&gt;=TODAY(),B160+ROW()/100000,""))</f>
        <v/>
      </c>
      <c r="B160" s="0" t="str">
        <f aca="false">IF(AND(Scadenze!E163&lt;&gt;"",Scadenze!H163&lt;&gt;"☑"),Scadenze!E163,"")</f>
        <v/>
      </c>
      <c r="C160" s="0" t="str">
        <f aca="false">IF(B160="","",Scadenze!A163)</f>
        <v/>
      </c>
      <c r="D160" s="0" t="str">
        <f aca="false">IF(B160="","",Scadenze!B163)</f>
        <v/>
      </c>
      <c r="E160" s="0" t="str">
        <f aca="false">IF(B160="","","Scadenza")</f>
        <v/>
      </c>
      <c r="F160" s="0" t="str">
        <f aca="true">IF(B160="","",IF(B160&lt;TODAY(),B160+ROW()/100000,""))</f>
        <v/>
      </c>
    </row>
    <row r="161" customFormat="false" ht="15" hidden="false" customHeight="false" outlineLevel="0" collapsed="false">
      <c r="A161" s="0" t="str">
        <f aca="true">IF(B161="","",IF(B161&gt;=TODAY(),B161+ROW()/100000,""))</f>
        <v/>
      </c>
      <c r="B161" s="0" t="str">
        <f aca="false">IF(AND(Scadenze!E164&lt;&gt;"",Scadenze!H164&lt;&gt;"☑"),Scadenze!E164,"")</f>
        <v/>
      </c>
      <c r="C161" s="0" t="str">
        <f aca="false">IF(B161="","",Scadenze!A164)</f>
        <v/>
      </c>
      <c r="D161" s="0" t="str">
        <f aca="false">IF(B161="","",Scadenze!B164)</f>
        <v/>
      </c>
      <c r="E161" s="0" t="str">
        <f aca="false">IF(B161="","","Scadenza")</f>
        <v/>
      </c>
      <c r="F161" s="0" t="str">
        <f aca="true">IF(B161="","",IF(B161&lt;TODAY(),B161+ROW()/100000,""))</f>
        <v/>
      </c>
    </row>
    <row r="162" customFormat="false" ht="15" hidden="false" customHeight="false" outlineLevel="0" collapsed="false">
      <c r="A162" s="0" t="str">
        <f aca="true">IF(B162="","",IF(B162&gt;=TODAY(),B162+ROW()/100000,""))</f>
        <v/>
      </c>
      <c r="B162" s="0" t="str">
        <f aca="false">IF(AND(Scadenze!E165&lt;&gt;"",Scadenze!H165&lt;&gt;"☑"),Scadenze!E165,"")</f>
        <v/>
      </c>
      <c r="C162" s="0" t="str">
        <f aca="false">IF(B162="","",Scadenze!A165)</f>
        <v/>
      </c>
      <c r="D162" s="0" t="str">
        <f aca="false">IF(B162="","",Scadenze!B165)</f>
        <v/>
      </c>
      <c r="E162" s="0" t="str">
        <f aca="false">IF(B162="","","Scadenza")</f>
        <v/>
      </c>
      <c r="F162" s="0" t="str">
        <f aca="true">IF(B162="","",IF(B162&lt;TODAY(),B162+ROW()/100000,""))</f>
        <v/>
      </c>
    </row>
    <row r="163" customFormat="false" ht="15" hidden="false" customHeight="false" outlineLevel="0" collapsed="false">
      <c r="A163" s="0" t="str">
        <f aca="true">IF(B163="","",IF(B163&gt;=TODAY(),B163+ROW()/100000,""))</f>
        <v/>
      </c>
      <c r="B163" s="0" t="str">
        <f aca="false">IF(AND(Scadenze!E166&lt;&gt;"",Scadenze!H166&lt;&gt;"☑"),Scadenze!E166,"")</f>
        <v/>
      </c>
      <c r="C163" s="0" t="str">
        <f aca="false">IF(B163="","",Scadenze!A166)</f>
        <v/>
      </c>
      <c r="D163" s="0" t="str">
        <f aca="false">IF(B163="","",Scadenze!B166)</f>
        <v/>
      </c>
      <c r="E163" s="0" t="str">
        <f aca="false">IF(B163="","","Scadenza")</f>
        <v/>
      </c>
      <c r="F163" s="0" t="str">
        <f aca="true">IF(B163="","",IF(B163&lt;TODAY(),B163+ROW()/100000,""))</f>
        <v/>
      </c>
    </row>
    <row r="164" customFormat="false" ht="15" hidden="false" customHeight="false" outlineLevel="0" collapsed="false">
      <c r="A164" s="0" t="str">
        <f aca="true">IF(B164="","",IF(B164&gt;=TODAY(),B164+ROW()/100000,""))</f>
        <v/>
      </c>
      <c r="B164" s="0" t="str">
        <f aca="false">IF(AND(Scadenze!E167&lt;&gt;"",Scadenze!H167&lt;&gt;"☑"),Scadenze!E167,"")</f>
        <v/>
      </c>
      <c r="C164" s="0" t="str">
        <f aca="false">IF(B164="","",Scadenze!A167)</f>
        <v/>
      </c>
      <c r="D164" s="0" t="str">
        <f aca="false">IF(B164="","",Scadenze!B167)</f>
        <v/>
      </c>
      <c r="E164" s="0" t="str">
        <f aca="false">IF(B164="","","Scadenza")</f>
        <v/>
      </c>
      <c r="F164" s="0" t="str">
        <f aca="true">IF(B164="","",IF(B164&lt;TODAY(),B164+ROW()/100000,""))</f>
        <v/>
      </c>
    </row>
    <row r="165" customFormat="false" ht="15" hidden="false" customHeight="false" outlineLevel="0" collapsed="false">
      <c r="A165" s="0" t="str">
        <f aca="true">IF(B165="","",IF(B165&gt;=TODAY(),B165+ROW()/100000,""))</f>
        <v/>
      </c>
      <c r="B165" s="0" t="str">
        <f aca="false">IF(AND(Scadenze!E168&lt;&gt;"",Scadenze!H168&lt;&gt;"☑"),Scadenze!E168,"")</f>
        <v/>
      </c>
      <c r="C165" s="0" t="str">
        <f aca="false">IF(B165="","",Scadenze!A168)</f>
        <v/>
      </c>
      <c r="D165" s="0" t="str">
        <f aca="false">IF(B165="","",Scadenze!B168)</f>
        <v/>
      </c>
      <c r="E165" s="0" t="str">
        <f aca="false">IF(B165="","","Scadenza")</f>
        <v/>
      </c>
      <c r="F165" s="0" t="str">
        <f aca="true">IF(B165="","",IF(B165&lt;TODAY(),B165+ROW()/100000,""))</f>
        <v/>
      </c>
    </row>
    <row r="166" customFormat="false" ht="15" hidden="false" customHeight="false" outlineLevel="0" collapsed="false">
      <c r="A166" s="0" t="str">
        <f aca="true">IF(B166="","",IF(B166&gt;=TODAY(),B166+ROW()/100000,""))</f>
        <v/>
      </c>
      <c r="B166" s="0" t="str">
        <f aca="false">IF(AND(Scadenze!E169&lt;&gt;"",Scadenze!H169&lt;&gt;"☑"),Scadenze!E169,"")</f>
        <v/>
      </c>
      <c r="C166" s="0" t="str">
        <f aca="false">IF(B166="","",Scadenze!A169)</f>
        <v/>
      </c>
      <c r="D166" s="0" t="str">
        <f aca="false">IF(B166="","",Scadenze!B169)</f>
        <v/>
      </c>
      <c r="E166" s="0" t="str">
        <f aca="false">IF(B166="","","Scadenza")</f>
        <v/>
      </c>
      <c r="F166" s="0" t="str">
        <f aca="true">IF(B166="","",IF(B166&lt;TODAY(),B166+ROW()/100000,""))</f>
        <v/>
      </c>
    </row>
    <row r="167" customFormat="false" ht="15" hidden="false" customHeight="false" outlineLevel="0" collapsed="false">
      <c r="A167" s="0" t="str">
        <f aca="true">IF(B167="","",IF(B167&gt;=TODAY(),B167+ROW()/100000,""))</f>
        <v/>
      </c>
      <c r="B167" s="0" t="str">
        <f aca="false">IF(AND(Scadenze!E170&lt;&gt;"",Scadenze!H170&lt;&gt;"☑"),Scadenze!E170,"")</f>
        <v/>
      </c>
      <c r="C167" s="0" t="str">
        <f aca="false">IF(B167="","",Scadenze!A170)</f>
        <v/>
      </c>
      <c r="D167" s="0" t="str">
        <f aca="false">IF(B167="","",Scadenze!B170)</f>
        <v/>
      </c>
      <c r="E167" s="0" t="str">
        <f aca="false">IF(B167="","","Scadenza")</f>
        <v/>
      </c>
      <c r="F167" s="0" t="str">
        <f aca="true">IF(B167="","",IF(B167&lt;TODAY(),B167+ROW()/100000,""))</f>
        <v/>
      </c>
    </row>
    <row r="168" customFormat="false" ht="15" hidden="false" customHeight="false" outlineLevel="0" collapsed="false">
      <c r="A168" s="0" t="str">
        <f aca="true">IF(B168="","",IF(B168&gt;=TODAY(),B168+ROW()/100000,""))</f>
        <v/>
      </c>
      <c r="B168" s="0" t="str">
        <f aca="false">IF(AND(Scadenze!E171&lt;&gt;"",Scadenze!H171&lt;&gt;"☑"),Scadenze!E171,"")</f>
        <v/>
      </c>
      <c r="C168" s="0" t="str">
        <f aca="false">IF(B168="","",Scadenze!A171)</f>
        <v/>
      </c>
      <c r="D168" s="0" t="str">
        <f aca="false">IF(B168="","",Scadenze!B171)</f>
        <v/>
      </c>
      <c r="E168" s="0" t="str">
        <f aca="false">IF(B168="","","Scadenza")</f>
        <v/>
      </c>
      <c r="F168" s="0" t="str">
        <f aca="true">IF(B168="","",IF(B168&lt;TODAY(),B168+ROW()/100000,""))</f>
        <v/>
      </c>
    </row>
    <row r="169" customFormat="false" ht="15" hidden="false" customHeight="false" outlineLevel="0" collapsed="false">
      <c r="A169" s="0" t="str">
        <f aca="true">IF(B169="","",IF(B169&gt;=TODAY(),B169+ROW()/100000,""))</f>
        <v/>
      </c>
      <c r="B169" s="0" t="str">
        <f aca="false">IF(AND(Scadenze!E172&lt;&gt;"",Scadenze!H172&lt;&gt;"☑"),Scadenze!E172,"")</f>
        <v/>
      </c>
      <c r="C169" s="0" t="str">
        <f aca="false">IF(B169="","",Scadenze!A172)</f>
        <v/>
      </c>
      <c r="D169" s="0" t="str">
        <f aca="false">IF(B169="","",Scadenze!B172)</f>
        <v/>
      </c>
      <c r="E169" s="0" t="str">
        <f aca="false">IF(B169="","","Scadenza")</f>
        <v/>
      </c>
      <c r="F169" s="0" t="str">
        <f aca="true">IF(B169="","",IF(B169&lt;TODAY(),B169+ROW()/100000,""))</f>
        <v/>
      </c>
    </row>
    <row r="170" customFormat="false" ht="15" hidden="false" customHeight="false" outlineLevel="0" collapsed="false">
      <c r="A170" s="0" t="str">
        <f aca="true">IF(B170="","",IF(B170&gt;=TODAY(),B170+ROW()/100000,""))</f>
        <v/>
      </c>
      <c r="B170" s="0" t="str">
        <f aca="false">IF(AND(Scadenze!E173&lt;&gt;"",Scadenze!H173&lt;&gt;"☑"),Scadenze!E173,"")</f>
        <v/>
      </c>
      <c r="C170" s="0" t="str">
        <f aca="false">IF(B170="","",Scadenze!A173)</f>
        <v/>
      </c>
      <c r="D170" s="0" t="str">
        <f aca="false">IF(B170="","",Scadenze!B173)</f>
        <v/>
      </c>
      <c r="E170" s="0" t="str">
        <f aca="false">IF(B170="","","Scadenza")</f>
        <v/>
      </c>
      <c r="F170" s="0" t="str">
        <f aca="true">IF(B170="","",IF(B170&lt;TODAY(),B170+ROW()/100000,""))</f>
        <v/>
      </c>
    </row>
    <row r="171" customFormat="false" ht="15" hidden="false" customHeight="false" outlineLevel="0" collapsed="false">
      <c r="A171" s="0" t="str">
        <f aca="true">IF(B171="","",IF(B171&gt;=TODAY(),B171+ROW()/100000,""))</f>
        <v/>
      </c>
      <c r="B171" s="0" t="str">
        <f aca="false">IF(AND(Scadenze!E174&lt;&gt;"",Scadenze!H174&lt;&gt;"☑"),Scadenze!E174,"")</f>
        <v/>
      </c>
      <c r="C171" s="0" t="str">
        <f aca="false">IF(B171="","",Scadenze!A174)</f>
        <v/>
      </c>
      <c r="D171" s="0" t="str">
        <f aca="false">IF(B171="","",Scadenze!B174)</f>
        <v/>
      </c>
      <c r="E171" s="0" t="str">
        <f aca="false">IF(B171="","","Scadenza")</f>
        <v/>
      </c>
      <c r="F171" s="0" t="str">
        <f aca="true">IF(B171="","",IF(B171&lt;TODAY(),B171+ROW()/100000,""))</f>
        <v/>
      </c>
    </row>
    <row r="172" customFormat="false" ht="15" hidden="false" customHeight="false" outlineLevel="0" collapsed="false">
      <c r="A172" s="0" t="str">
        <f aca="true">IF(B172="","",IF(B172&gt;=TODAY(),B172+ROW()/100000,""))</f>
        <v/>
      </c>
      <c r="B172" s="0" t="str">
        <f aca="false">IF(AND(Scadenze!E175&lt;&gt;"",Scadenze!H175&lt;&gt;"☑"),Scadenze!E175,"")</f>
        <v/>
      </c>
      <c r="C172" s="0" t="str">
        <f aca="false">IF(B172="","",Scadenze!A175)</f>
        <v/>
      </c>
      <c r="D172" s="0" t="str">
        <f aca="false">IF(B172="","",Scadenze!B175)</f>
        <v/>
      </c>
      <c r="E172" s="0" t="str">
        <f aca="false">IF(B172="","","Scadenza")</f>
        <v/>
      </c>
      <c r="F172" s="0" t="str">
        <f aca="true">IF(B172="","",IF(B172&lt;TODAY(),B172+ROW()/100000,""))</f>
        <v/>
      </c>
    </row>
    <row r="173" customFormat="false" ht="15" hidden="false" customHeight="false" outlineLevel="0" collapsed="false">
      <c r="A173" s="0" t="str">
        <f aca="true">IF(B173="","",IF(B173&gt;=TODAY(),B173+ROW()/100000,""))</f>
        <v/>
      </c>
      <c r="B173" s="0" t="str">
        <f aca="false">IF(AND(Scadenze!E176&lt;&gt;"",Scadenze!H176&lt;&gt;"☑"),Scadenze!E176,"")</f>
        <v/>
      </c>
      <c r="C173" s="0" t="str">
        <f aca="false">IF(B173="","",Scadenze!A176)</f>
        <v/>
      </c>
      <c r="D173" s="0" t="str">
        <f aca="false">IF(B173="","",Scadenze!B176)</f>
        <v/>
      </c>
      <c r="E173" s="0" t="str">
        <f aca="false">IF(B173="","","Scadenza")</f>
        <v/>
      </c>
      <c r="F173" s="0" t="str">
        <f aca="true">IF(B173="","",IF(B173&lt;TODAY(),B173+ROW()/100000,""))</f>
        <v/>
      </c>
    </row>
    <row r="174" customFormat="false" ht="15" hidden="false" customHeight="false" outlineLevel="0" collapsed="false">
      <c r="A174" s="0" t="str">
        <f aca="true">IF(B174="","",IF(B174&gt;=TODAY(),B174+ROW()/100000,""))</f>
        <v/>
      </c>
      <c r="B174" s="0" t="str">
        <f aca="false">IF(AND(Scadenze!E177&lt;&gt;"",Scadenze!H177&lt;&gt;"☑"),Scadenze!E177,"")</f>
        <v/>
      </c>
      <c r="C174" s="0" t="str">
        <f aca="false">IF(B174="","",Scadenze!A177)</f>
        <v/>
      </c>
      <c r="D174" s="0" t="str">
        <f aca="false">IF(B174="","",Scadenze!B177)</f>
        <v/>
      </c>
      <c r="E174" s="0" t="str">
        <f aca="false">IF(B174="","","Scadenza")</f>
        <v/>
      </c>
      <c r="F174" s="0" t="str">
        <f aca="true">IF(B174="","",IF(B174&lt;TODAY(),B174+ROW()/100000,""))</f>
        <v/>
      </c>
    </row>
    <row r="175" customFormat="false" ht="15" hidden="false" customHeight="false" outlineLevel="0" collapsed="false">
      <c r="A175" s="0" t="str">
        <f aca="true">IF(B175="","",IF(B175&gt;=TODAY(),B175+ROW()/100000,""))</f>
        <v/>
      </c>
      <c r="B175" s="0" t="str">
        <f aca="false">IF(AND(Scadenze!E178&lt;&gt;"",Scadenze!H178&lt;&gt;"☑"),Scadenze!E178,"")</f>
        <v/>
      </c>
      <c r="C175" s="0" t="str">
        <f aca="false">IF(B175="","",Scadenze!A178)</f>
        <v/>
      </c>
      <c r="D175" s="0" t="str">
        <f aca="false">IF(B175="","",Scadenze!B178)</f>
        <v/>
      </c>
      <c r="E175" s="0" t="str">
        <f aca="false">IF(B175="","","Scadenza")</f>
        <v/>
      </c>
      <c r="F175" s="0" t="str">
        <f aca="true">IF(B175="","",IF(B175&lt;TODAY(),B175+ROW()/100000,""))</f>
        <v/>
      </c>
    </row>
    <row r="176" customFormat="false" ht="15" hidden="false" customHeight="false" outlineLevel="0" collapsed="false">
      <c r="A176" s="0" t="str">
        <f aca="true">IF(B176="","",IF(B176&gt;=TODAY(),B176+ROW()/100000,""))</f>
        <v/>
      </c>
      <c r="B176" s="0" t="str">
        <f aca="false">IF(AND(Scadenze!E179&lt;&gt;"",Scadenze!H179&lt;&gt;"☑"),Scadenze!E179,"")</f>
        <v/>
      </c>
      <c r="C176" s="0" t="str">
        <f aca="false">IF(B176="","",Scadenze!A179)</f>
        <v/>
      </c>
      <c r="D176" s="0" t="str">
        <f aca="false">IF(B176="","",Scadenze!B179)</f>
        <v/>
      </c>
      <c r="E176" s="0" t="str">
        <f aca="false">IF(B176="","","Scadenza")</f>
        <v/>
      </c>
      <c r="F176" s="0" t="str">
        <f aca="true">IF(B176="","",IF(B176&lt;TODAY(),B176+ROW()/100000,""))</f>
        <v/>
      </c>
    </row>
    <row r="177" customFormat="false" ht="15" hidden="false" customHeight="false" outlineLevel="0" collapsed="false">
      <c r="A177" s="0" t="str">
        <f aca="true">IF(B177="","",IF(B177&gt;=TODAY(),B177+ROW()/100000,""))</f>
        <v/>
      </c>
      <c r="B177" s="0" t="str">
        <f aca="false">IF(AND(Scadenze!E180&lt;&gt;"",Scadenze!H180&lt;&gt;"☑"),Scadenze!E180,"")</f>
        <v/>
      </c>
      <c r="C177" s="0" t="str">
        <f aca="false">IF(B177="","",Scadenze!A180)</f>
        <v/>
      </c>
      <c r="D177" s="0" t="str">
        <f aca="false">IF(B177="","",Scadenze!B180)</f>
        <v/>
      </c>
      <c r="E177" s="0" t="str">
        <f aca="false">IF(B177="","","Scadenza")</f>
        <v/>
      </c>
      <c r="F177" s="0" t="str">
        <f aca="true">IF(B177="","",IF(B177&lt;TODAY(),B177+ROW()/100000,""))</f>
        <v/>
      </c>
    </row>
    <row r="178" customFormat="false" ht="15" hidden="false" customHeight="false" outlineLevel="0" collapsed="false">
      <c r="A178" s="0" t="str">
        <f aca="true">IF(B178="","",IF(B178&gt;=TODAY(),B178+ROW()/100000,""))</f>
        <v/>
      </c>
      <c r="B178" s="0" t="str">
        <f aca="false">IF(AND(Scadenze!E181&lt;&gt;"",Scadenze!H181&lt;&gt;"☑"),Scadenze!E181,"")</f>
        <v/>
      </c>
      <c r="C178" s="0" t="str">
        <f aca="false">IF(B178="","",Scadenze!A181)</f>
        <v/>
      </c>
      <c r="D178" s="0" t="str">
        <f aca="false">IF(B178="","",Scadenze!B181)</f>
        <v/>
      </c>
      <c r="E178" s="0" t="str">
        <f aca="false">IF(B178="","","Scadenza")</f>
        <v/>
      </c>
      <c r="F178" s="0" t="str">
        <f aca="true">IF(B178="","",IF(B178&lt;TODAY(),B178+ROW()/100000,""))</f>
        <v/>
      </c>
    </row>
    <row r="179" customFormat="false" ht="15" hidden="false" customHeight="false" outlineLevel="0" collapsed="false">
      <c r="A179" s="0" t="str">
        <f aca="true">IF(B179="","",IF(B179&gt;=TODAY(),B179+ROW()/100000,""))</f>
        <v/>
      </c>
      <c r="B179" s="0" t="str">
        <f aca="false">IF(AND(Scadenze!E182&lt;&gt;"",Scadenze!H182&lt;&gt;"☑"),Scadenze!E182,"")</f>
        <v/>
      </c>
      <c r="C179" s="0" t="str">
        <f aca="false">IF(B179="","",Scadenze!A182)</f>
        <v/>
      </c>
      <c r="D179" s="0" t="str">
        <f aca="false">IF(B179="","",Scadenze!B182)</f>
        <v/>
      </c>
      <c r="E179" s="0" t="str">
        <f aca="false">IF(B179="","","Scadenza")</f>
        <v/>
      </c>
      <c r="F179" s="0" t="str">
        <f aca="true">IF(B179="","",IF(B179&lt;TODAY(),B179+ROW()/100000,""))</f>
        <v/>
      </c>
    </row>
    <row r="180" customFormat="false" ht="15" hidden="false" customHeight="false" outlineLevel="0" collapsed="false">
      <c r="A180" s="0" t="str">
        <f aca="true">IF(B180="","",IF(B180&gt;=TODAY(),B180+ROW()/100000,""))</f>
        <v/>
      </c>
      <c r="B180" s="0" t="str">
        <f aca="false">IF(AND(Scadenze!E183&lt;&gt;"",Scadenze!H183&lt;&gt;"☑"),Scadenze!E183,"")</f>
        <v/>
      </c>
      <c r="C180" s="0" t="str">
        <f aca="false">IF(B180="","",Scadenze!A183)</f>
        <v/>
      </c>
      <c r="D180" s="0" t="str">
        <f aca="false">IF(B180="","",Scadenze!B183)</f>
        <v/>
      </c>
      <c r="E180" s="0" t="str">
        <f aca="false">IF(B180="","","Scadenza")</f>
        <v/>
      </c>
      <c r="F180" s="0" t="str">
        <f aca="true">IF(B180="","",IF(B180&lt;TODAY(),B180+ROW()/100000,""))</f>
        <v/>
      </c>
    </row>
    <row r="181" customFormat="false" ht="15" hidden="false" customHeight="false" outlineLevel="0" collapsed="false">
      <c r="A181" s="0" t="str">
        <f aca="true">IF(B181="","",IF(B181&gt;=TODAY(),B181+ROW()/100000,""))</f>
        <v/>
      </c>
      <c r="B181" s="0" t="str">
        <f aca="false">IF(AND(Scadenze!E184&lt;&gt;"",Scadenze!H184&lt;&gt;"☑"),Scadenze!E184,"")</f>
        <v/>
      </c>
      <c r="C181" s="0" t="str">
        <f aca="false">IF(B181="","",Scadenze!A184)</f>
        <v/>
      </c>
      <c r="D181" s="0" t="str">
        <f aca="false">IF(B181="","",Scadenze!B184)</f>
        <v/>
      </c>
      <c r="E181" s="0" t="str">
        <f aca="false">IF(B181="","","Scadenza")</f>
        <v/>
      </c>
      <c r="F181" s="0" t="str">
        <f aca="true">IF(B181="","",IF(B181&lt;TODAY(),B181+ROW()/100000,""))</f>
        <v/>
      </c>
    </row>
    <row r="182" customFormat="false" ht="15" hidden="false" customHeight="false" outlineLevel="0" collapsed="false">
      <c r="A182" s="0" t="str">
        <f aca="true">IF(B182="","",IF(B182&gt;=TODAY(),B182+ROW()/100000,""))</f>
        <v/>
      </c>
      <c r="B182" s="0" t="str">
        <f aca="false">IF(AND(Scadenze!E185&lt;&gt;"",Scadenze!H185&lt;&gt;"☑"),Scadenze!E185,"")</f>
        <v/>
      </c>
      <c r="C182" s="0" t="str">
        <f aca="false">IF(B182="","",Scadenze!A185)</f>
        <v/>
      </c>
      <c r="D182" s="0" t="str">
        <f aca="false">IF(B182="","",Scadenze!B185)</f>
        <v/>
      </c>
      <c r="E182" s="0" t="str">
        <f aca="false">IF(B182="","","Scadenza")</f>
        <v/>
      </c>
      <c r="F182" s="0" t="str">
        <f aca="true">IF(B182="","",IF(B182&lt;TODAY(),B182+ROW()/100000,""))</f>
        <v/>
      </c>
    </row>
    <row r="183" customFormat="false" ht="15" hidden="false" customHeight="false" outlineLevel="0" collapsed="false">
      <c r="A183" s="0" t="str">
        <f aca="true">IF(B183="","",IF(B183&gt;=TODAY(),B183+ROW()/100000,""))</f>
        <v/>
      </c>
      <c r="B183" s="0" t="str">
        <f aca="false">IF(AND(Scadenze!E186&lt;&gt;"",Scadenze!H186&lt;&gt;"☑"),Scadenze!E186,"")</f>
        <v/>
      </c>
      <c r="C183" s="0" t="str">
        <f aca="false">IF(B183="","",Scadenze!A186)</f>
        <v/>
      </c>
      <c r="D183" s="0" t="str">
        <f aca="false">IF(B183="","",Scadenze!B186)</f>
        <v/>
      </c>
      <c r="E183" s="0" t="str">
        <f aca="false">IF(B183="","","Scadenza")</f>
        <v/>
      </c>
      <c r="F183" s="0" t="str">
        <f aca="true">IF(B183="","",IF(B183&lt;TODAY(),B183+ROW()/100000,""))</f>
        <v/>
      </c>
    </row>
    <row r="184" customFormat="false" ht="15" hidden="false" customHeight="false" outlineLevel="0" collapsed="false">
      <c r="A184" s="0" t="str">
        <f aca="true">IF(B184="","",IF(B184&gt;=TODAY(),B184+ROW()/100000,""))</f>
        <v/>
      </c>
      <c r="B184" s="0" t="str">
        <f aca="false">IF(AND(Scadenze!E187&lt;&gt;"",Scadenze!H187&lt;&gt;"☑"),Scadenze!E187,"")</f>
        <v/>
      </c>
      <c r="C184" s="0" t="str">
        <f aca="false">IF(B184="","",Scadenze!A187)</f>
        <v/>
      </c>
      <c r="D184" s="0" t="str">
        <f aca="false">IF(B184="","",Scadenze!B187)</f>
        <v/>
      </c>
      <c r="E184" s="0" t="str">
        <f aca="false">IF(B184="","","Scadenza")</f>
        <v/>
      </c>
      <c r="F184" s="0" t="str">
        <f aca="true">IF(B184="","",IF(B184&lt;TODAY(),B184+ROW()/100000,""))</f>
        <v/>
      </c>
    </row>
    <row r="185" customFormat="false" ht="15" hidden="false" customHeight="false" outlineLevel="0" collapsed="false">
      <c r="A185" s="0" t="str">
        <f aca="true">IF(B185="","",IF(B185&gt;=TODAY(),B185+ROW()/100000,""))</f>
        <v/>
      </c>
      <c r="B185" s="0" t="str">
        <f aca="false">IF(AND(Scadenze!E188&lt;&gt;"",Scadenze!H188&lt;&gt;"☑"),Scadenze!E188,"")</f>
        <v/>
      </c>
      <c r="C185" s="0" t="str">
        <f aca="false">IF(B185="","",Scadenze!A188)</f>
        <v/>
      </c>
      <c r="D185" s="0" t="str">
        <f aca="false">IF(B185="","",Scadenze!B188)</f>
        <v/>
      </c>
      <c r="E185" s="0" t="str">
        <f aca="false">IF(B185="","","Scadenza")</f>
        <v/>
      </c>
      <c r="F185" s="0" t="str">
        <f aca="true">IF(B185="","",IF(B185&lt;TODAY(),B185+ROW()/100000,""))</f>
        <v/>
      </c>
    </row>
    <row r="186" customFormat="false" ht="15" hidden="false" customHeight="false" outlineLevel="0" collapsed="false">
      <c r="A186" s="0" t="str">
        <f aca="true">IF(B186="","",IF(B186&gt;=TODAY(),B186+ROW()/100000,""))</f>
        <v/>
      </c>
      <c r="B186" s="0" t="str">
        <f aca="false">IF(AND(Scadenze!E189&lt;&gt;"",Scadenze!H189&lt;&gt;"☑"),Scadenze!E189,"")</f>
        <v/>
      </c>
      <c r="C186" s="0" t="str">
        <f aca="false">IF(B186="","",Scadenze!A189)</f>
        <v/>
      </c>
      <c r="D186" s="0" t="str">
        <f aca="false">IF(B186="","",Scadenze!B189)</f>
        <v/>
      </c>
      <c r="E186" s="0" t="str">
        <f aca="false">IF(B186="","","Scadenza")</f>
        <v/>
      </c>
      <c r="F186" s="0" t="str">
        <f aca="true">IF(B186="","",IF(B186&lt;TODAY(),B186+ROW()/100000,""))</f>
        <v/>
      </c>
    </row>
    <row r="187" customFormat="false" ht="15" hidden="false" customHeight="false" outlineLevel="0" collapsed="false">
      <c r="A187" s="0" t="str">
        <f aca="true">IF(B187="","",IF(B187&gt;=TODAY(),B187+ROW()/100000,""))</f>
        <v/>
      </c>
      <c r="B187" s="0" t="str">
        <f aca="false">IF(AND(Scadenze!E190&lt;&gt;"",Scadenze!H190&lt;&gt;"☑"),Scadenze!E190,"")</f>
        <v/>
      </c>
      <c r="C187" s="0" t="str">
        <f aca="false">IF(B187="","",Scadenze!A190)</f>
        <v/>
      </c>
      <c r="D187" s="0" t="str">
        <f aca="false">IF(B187="","",Scadenze!B190)</f>
        <v/>
      </c>
      <c r="E187" s="0" t="str">
        <f aca="false">IF(B187="","","Scadenza")</f>
        <v/>
      </c>
      <c r="F187" s="0" t="str">
        <f aca="true">IF(B187="","",IF(B187&lt;TODAY(),B187+ROW()/100000,""))</f>
        <v/>
      </c>
    </row>
    <row r="188" customFormat="false" ht="15" hidden="false" customHeight="false" outlineLevel="0" collapsed="false">
      <c r="A188" s="0" t="str">
        <f aca="true">IF(B188="","",IF(B188&gt;=TODAY(),B188+ROW()/100000,""))</f>
        <v/>
      </c>
      <c r="B188" s="0" t="str">
        <f aca="false">IF(AND(Scadenze!E191&lt;&gt;"",Scadenze!H191&lt;&gt;"☑"),Scadenze!E191,"")</f>
        <v/>
      </c>
      <c r="C188" s="0" t="str">
        <f aca="false">IF(B188="","",Scadenze!A191)</f>
        <v/>
      </c>
      <c r="D188" s="0" t="str">
        <f aca="false">IF(B188="","",Scadenze!B191)</f>
        <v/>
      </c>
      <c r="E188" s="0" t="str">
        <f aca="false">IF(B188="","","Scadenza")</f>
        <v/>
      </c>
      <c r="F188" s="0" t="str">
        <f aca="true">IF(B188="","",IF(B188&lt;TODAY(),B188+ROW()/100000,""))</f>
        <v/>
      </c>
    </row>
    <row r="189" customFormat="false" ht="15" hidden="false" customHeight="false" outlineLevel="0" collapsed="false">
      <c r="A189" s="0" t="str">
        <f aca="true">IF(B189="","",IF(B189&gt;=TODAY(),B189+ROW()/100000,""))</f>
        <v/>
      </c>
      <c r="B189" s="0" t="str">
        <f aca="false">IF(AND(Scadenze!E192&lt;&gt;"",Scadenze!H192&lt;&gt;"☑"),Scadenze!E192,"")</f>
        <v/>
      </c>
      <c r="C189" s="0" t="str">
        <f aca="false">IF(B189="","",Scadenze!A192)</f>
        <v/>
      </c>
      <c r="D189" s="0" t="str">
        <f aca="false">IF(B189="","",Scadenze!B192)</f>
        <v/>
      </c>
      <c r="E189" s="0" t="str">
        <f aca="false">IF(B189="","","Scadenza")</f>
        <v/>
      </c>
      <c r="F189" s="0" t="str">
        <f aca="true">IF(B189="","",IF(B189&lt;TODAY(),B189+ROW()/100000,""))</f>
        <v/>
      </c>
    </row>
    <row r="190" customFormat="false" ht="15" hidden="false" customHeight="false" outlineLevel="0" collapsed="false">
      <c r="A190" s="0" t="str">
        <f aca="true">IF(B190="","",IF(B190&gt;=TODAY(),B190+ROW()/100000,""))</f>
        <v/>
      </c>
      <c r="B190" s="0" t="str">
        <f aca="false">IF(AND(Scadenze!E193&lt;&gt;"",Scadenze!H193&lt;&gt;"☑"),Scadenze!E193,"")</f>
        <v/>
      </c>
      <c r="C190" s="0" t="str">
        <f aca="false">IF(B190="","",Scadenze!A193)</f>
        <v/>
      </c>
      <c r="D190" s="0" t="str">
        <f aca="false">IF(B190="","",Scadenze!B193)</f>
        <v/>
      </c>
      <c r="E190" s="0" t="str">
        <f aca="false">IF(B190="","","Scadenza")</f>
        <v/>
      </c>
      <c r="F190" s="0" t="str">
        <f aca="true">IF(B190="","",IF(B190&lt;TODAY(),B190+ROW()/100000,""))</f>
        <v/>
      </c>
    </row>
    <row r="191" customFormat="false" ht="15" hidden="false" customHeight="false" outlineLevel="0" collapsed="false">
      <c r="A191" s="0" t="str">
        <f aca="true">IF(B191="","",IF(B191&gt;=TODAY(),B191+ROW()/100000,""))</f>
        <v/>
      </c>
      <c r="B191" s="0" t="str">
        <f aca="false">IF(AND(Scadenze!E194&lt;&gt;"",Scadenze!H194&lt;&gt;"☑"),Scadenze!E194,"")</f>
        <v/>
      </c>
      <c r="C191" s="0" t="str">
        <f aca="false">IF(B191="","",Scadenze!A194)</f>
        <v/>
      </c>
      <c r="D191" s="0" t="str">
        <f aca="false">IF(B191="","",Scadenze!B194)</f>
        <v/>
      </c>
      <c r="E191" s="0" t="str">
        <f aca="false">IF(B191="","","Scadenza")</f>
        <v/>
      </c>
      <c r="F191" s="0" t="str">
        <f aca="true">IF(B191="","",IF(B191&lt;TODAY(),B191+ROW()/100000,""))</f>
        <v/>
      </c>
    </row>
    <row r="192" customFormat="false" ht="15" hidden="false" customHeight="false" outlineLevel="0" collapsed="false">
      <c r="A192" s="0" t="str">
        <f aca="true">IF(B192="","",IF(B192&gt;=TODAY(),B192+ROW()/100000,""))</f>
        <v/>
      </c>
      <c r="B192" s="0" t="str">
        <f aca="false">IF(AND(Scadenze!E195&lt;&gt;"",Scadenze!H195&lt;&gt;"☑"),Scadenze!E195,"")</f>
        <v/>
      </c>
      <c r="C192" s="0" t="str">
        <f aca="false">IF(B192="","",Scadenze!A195)</f>
        <v/>
      </c>
      <c r="D192" s="0" t="str">
        <f aca="false">IF(B192="","",Scadenze!B195)</f>
        <v/>
      </c>
      <c r="E192" s="0" t="str">
        <f aca="false">IF(B192="","","Scadenza")</f>
        <v/>
      </c>
      <c r="F192" s="0" t="str">
        <f aca="true">IF(B192="","",IF(B192&lt;TODAY(),B192+ROW()/100000,""))</f>
        <v/>
      </c>
    </row>
    <row r="193" customFormat="false" ht="15" hidden="false" customHeight="false" outlineLevel="0" collapsed="false">
      <c r="A193" s="0" t="str">
        <f aca="true">IF(B193="","",IF(B193&gt;=TODAY(),B193+ROW()/100000,""))</f>
        <v/>
      </c>
      <c r="B193" s="0" t="str">
        <f aca="false">IF(AND(Scadenze!E196&lt;&gt;"",Scadenze!H196&lt;&gt;"☑"),Scadenze!E196,"")</f>
        <v/>
      </c>
      <c r="C193" s="0" t="str">
        <f aca="false">IF(B193="","",Scadenze!A196)</f>
        <v/>
      </c>
      <c r="D193" s="0" t="str">
        <f aca="false">IF(B193="","",Scadenze!B196)</f>
        <v/>
      </c>
      <c r="E193" s="0" t="str">
        <f aca="false">IF(B193="","","Scadenza")</f>
        <v/>
      </c>
      <c r="F193" s="0" t="str">
        <f aca="true">IF(B193="","",IF(B193&lt;TODAY(),B193+ROW()/100000,""))</f>
        <v/>
      </c>
    </row>
    <row r="194" customFormat="false" ht="15" hidden="false" customHeight="false" outlineLevel="0" collapsed="false">
      <c r="A194" s="0" t="str">
        <f aca="true">IF(B194="","",IF(B194&gt;=TODAY(),B194+ROW()/100000,""))</f>
        <v/>
      </c>
      <c r="B194" s="0" t="str">
        <f aca="false">IF(AND(Scadenze!E197&lt;&gt;"",Scadenze!H197&lt;&gt;"☑"),Scadenze!E197,"")</f>
        <v/>
      </c>
      <c r="C194" s="0" t="str">
        <f aca="false">IF(B194="","",Scadenze!A197)</f>
        <v/>
      </c>
      <c r="D194" s="0" t="str">
        <f aca="false">IF(B194="","",Scadenze!B197)</f>
        <v/>
      </c>
      <c r="E194" s="0" t="str">
        <f aca="false">IF(B194="","","Scadenza")</f>
        <v/>
      </c>
      <c r="F194" s="0" t="str">
        <f aca="true">IF(B194="","",IF(B194&lt;TODAY(),B194+ROW()/100000,""))</f>
        <v/>
      </c>
    </row>
    <row r="195" customFormat="false" ht="15" hidden="false" customHeight="false" outlineLevel="0" collapsed="false">
      <c r="A195" s="0" t="str">
        <f aca="true">IF(B195="","",IF(B195&gt;=TODAY(),B195+ROW()/100000,""))</f>
        <v/>
      </c>
      <c r="B195" s="0" t="str">
        <f aca="false">IF(AND(Scadenze!E198&lt;&gt;"",Scadenze!H198&lt;&gt;"☑"),Scadenze!E198,"")</f>
        <v/>
      </c>
      <c r="C195" s="0" t="str">
        <f aca="false">IF(B195="","",Scadenze!A198)</f>
        <v/>
      </c>
      <c r="D195" s="0" t="str">
        <f aca="false">IF(B195="","",Scadenze!B198)</f>
        <v/>
      </c>
      <c r="E195" s="0" t="str">
        <f aca="false">IF(B195="","","Scadenza")</f>
        <v/>
      </c>
      <c r="F195" s="0" t="str">
        <f aca="true">IF(B195="","",IF(B195&lt;TODAY(),B195+ROW()/100000,""))</f>
        <v/>
      </c>
    </row>
    <row r="196" customFormat="false" ht="15" hidden="false" customHeight="false" outlineLevel="0" collapsed="false">
      <c r="A196" s="0" t="str">
        <f aca="true">IF(B196="","",IF(B196&gt;=TODAY(),B196+ROW()/100000,""))</f>
        <v/>
      </c>
      <c r="B196" s="0" t="str">
        <f aca="false">IF(AND(Scadenze!E199&lt;&gt;"",Scadenze!H199&lt;&gt;"☑"),Scadenze!E199,"")</f>
        <v/>
      </c>
      <c r="C196" s="0" t="str">
        <f aca="false">IF(B196="","",Scadenze!A199)</f>
        <v/>
      </c>
      <c r="D196" s="0" t="str">
        <f aca="false">IF(B196="","",Scadenze!B199)</f>
        <v/>
      </c>
      <c r="E196" s="0" t="str">
        <f aca="false">IF(B196="","","Scadenza")</f>
        <v/>
      </c>
      <c r="F196" s="0" t="str">
        <f aca="true">IF(B196="","",IF(B196&lt;TODAY(),B196+ROW()/100000,""))</f>
        <v/>
      </c>
    </row>
    <row r="197" customFormat="false" ht="15" hidden="false" customHeight="false" outlineLevel="0" collapsed="false">
      <c r="A197" s="0" t="str">
        <f aca="true">IF(B197="","",IF(B197&gt;=TODAY(),B197+ROW()/100000,""))</f>
        <v/>
      </c>
      <c r="B197" s="0" t="str">
        <f aca="false">IF(AND(Scadenze!E200&lt;&gt;"",Scadenze!H200&lt;&gt;"☑"),Scadenze!E200,"")</f>
        <v/>
      </c>
      <c r="C197" s="0" t="str">
        <f aca="false">IF(B197="","",Scadenze!A200)</f>
        <v/>
      </c>
      <c r="D197" s="0" t="str">
        <f aca="false">IF(B197="","",Scadenze!B200)</f>
        <v/>
      </c>
      <c r="E197" s="0" t="str">
        <f aca="false">IF(B197="","","Scadenza")</f>
        <v/>
      </c>
      <c r="F197" s="0" t="str">
        <f aca="true">IF(B197="","",IF(B197&lt;TODAY(),B197+ROW()/100000,""))</f>
        <v/>
      </c>
    </row>
    <row r="198" customFormat="false" ht="15" hidden="false" customHeight="false" outlineLevel="0" collapsed="false">
      <c r="A198" s="0" t="str">
        <f aca="true">IF(B198="","",IF(B198&gt;=TODAY(),B198+ROW()/100000,""))</f>
        <v/>
      </c>
      <c r="B198" s="0" t="str">
        <f aca="false">IF(AND(Scadenze!E201&lt;&gt;"",Scadenze!H201&lt;&gt;"☑"),Scadenze!E201,"")</f>
        <v/>
      </c>
      <c r="C198" s="0" t="str">
        <f aca="false">IF(B198="","",Scadenze!A201)</f>
        <v/>
      </c>
      <c r="D198" s="0" t="str">
        <f aca="false">IF(B198="","",Scadenze!B201)</f>
        <v/>
      </c>
      <c r="E198" s="0" t="str">
        <f aca="false">IF(B198="","","Scadenza")</f>
        <v/>
      </c>
      <c r="F198" s="0" t="str">
        <f aca="true">IF(B198="","",IF(B198&lt;TODAY(),B198+ROW()/100000,""))</f>
        <v/>
      </c>
    </row>
    <row r="199" customFormat="false" ht="15" hidden="false" customHeight="false" outlineLevel="0" collapsed="false">
      <c r="A199" s="0" t="str">
        <f aca="true">IF(B199="","",IF(B199&gt;=TODAY(),B199+ROW()/100000,""))</f>
        <v/>
      </c>
      <c r="B199" s="0" t="str">
        <f aca="false">IF(AND(Scadenze!E202&lt;&gt;"",Scadenze!H202&lt;&gt;"☑"),Scadenze!E202,"")</f>
        <v/>
      </c>
      <c r="C199" s="0" t="str">
        <f aca="false">IF(B199="","",Scadenze!A202)</f>
        <v/>
      </c>
      <c r="D199" s="0" t="str">
        <f aca="false">IF(B199="","",Scadenze!B202)</f>
        <v/>
      </c>
      <c r="E199" s="0" t="str">
        <f aca="false">IF(B199="","","Scadenza")</f>
        <v/>
      </c>
      <c r="F199" s="0" t="str">
        <f aca="true">IF(B199="","",IF(B199&lt;TODAY(),B199+ROW()/100000,""))</f>
        <v/>
      </c>
    </row>
    <row r="200" customFormat="false" ht="15" hidden="false" customHeight="false" outlineLevel="0" collapsed="false">
      <c r="A200" s="0" t="str">
        <f aca="true">IF(B200="","",IF(B200&gt;=TODAY(),B200+ROW()/100000,""))</f>
        <v/>
      </c>
      <c r="B200" s="0" t="str">
        <f aca="false">IF(AND(Scadenze!E203&lt;&gt;"",Scadenze!H203&lt;&gt;"☑"),Scadenze!E203,"")</f>
        <v/>
      </c>
      <c r="C200" s="0" t="str">
        <f aca="false">IF(B200="","",Scadenze!A203)</f>
        <v/>
      </c>
      <c r="D200" s="0" t="str">
        <f aca="false">IF(B200="","",Scadenze!B203)</f>
        <v/>
      </c>
      <c r="E200" s="0" t="str">
        <f aca="false">IF(B200="","","Scadenza")</f>
        <v/>
      </c>
      <c r="F200" s="0" t="str">
        <f aca="true">IF(B200="","",IF(B200&lt;TODAY(),B200+ROW()/100000,""))</f>
        <v/>
      </c>
    </row>
    <row r="201" customFormat="false" ht="15" hidden="false" customHeight="false" outlineLevel="0" collapsed="false">
      <c r="A201" s="0" t="str">
        <f aca="true">IF(B201="","",IF(B201&gt;=TODAY(),B201+ROW()/100000,""))</f>
        <v/>
      </c>
      <c r="B201" s="0" t="str">
        <f aca="false">IF(AND(Scadenze!E204&lt;&gt;"",Scadenze!H204&lt;&gt;"☑"),Scadenze!E204,"")</f>
        <v/>
      </c>
      <c r="C201" s="0" t="str">
        <f aca="false">IF(B201="","",Scadenze!A204)</f>
        <v/>
      </c>
      <c r="D201" s="0" t="str">
        <f aca="false">IF(B201="","",Scadenze!B204)</f>
        <v/>
      </c>
      <c r="E201" s="0" t="str">
        <f aca="false">IF(B201="","","Scadenza")</f>
        <v/>
      </c>
      <c r="F201" s="0" t="str">
        <f aca="true">IF(B201="","",IF(B201&lt;TODAY(),B201+ROW()/100000,""))</f>
        <v/>
      </c>
    </row>
    <row r="202" customFormat="false" ht="15" hidden="false" customHeight="false" outlineLevel="0" collapsed="false">
      <c r="A202" s="0" t="str">
        <f aca="true">IF(B202="","",IF(B202&gt;=TODAY(),B202+ROW()/100000,""))</f>
        <v/>
      </c>
      <c r="B202" s="0" t="str">
        <f aca="false">IF(AND(Scadenze!E205&lt;&gt;"",Scadenze!H205&lt;&gt;"☑"),Scadenze!E205,"")</f>
        <v/>
      </c>
      <c r="C202" s="0" t="str">
        <f aca="false">IF(B202="","",Scadenze!A205)</f>
        <v/>
      </c>
      <c r="D202" s="0" t="str">
        <f aca="false">IF(B202="","",Scadenze!B205)</f>
        <v/>
      </c>
      <c r="E202" s="0" t="str">
        <f aca="false">IF(B202="","","Scadenza")</f>
        <v/>
      </c>
      <c r="F202" s="0" t="str">
        <f aca="true">IF(B202="","",IF(B202&lt;TODAY(),B202+ROW()/100000,""))</f>
        <v/>
      </c>
    </row>
    <row r="203" customFormat="false" ht="15" hidden="false" customHeight="false" outlineLevel="0" collapsed="false">
      <c r="A203" s="0" t="str">
        <f aca="true">IF(B203="","",IF(B203&gt;=TODAY(),B203+ROW()/100000,""))</f>
        <v/>
      </c>
      <c r="B203" s="0" t="str">
        <f aca="false">IF(AND(Scadenze!E206&lt;&gt;"",Scadenze!H206&lt;&gt;"☑"),Scadenze!E206,"")</f>
        <v/>
      </c>
      <c r="C203" s="0" t="str">
        <f aca="false">IF(B203="","",Scadenze!A206)</f>
        <v/>
      </c>
      <c r="D203" s="0" t="str">
        <f aca="false">IF(B203="","",Scadenze!B206)</f>
        <v/>
      </c>
      <c r="E203" s="0" t="str">
        <f aca="false">IF(B203="","","Scadenza")</f>
        <v/>
      </c>
      <c r="F203" s="0" t="str">
        <f aca="true">IF(B203="","",IF(B203&lt;TODAY(),B203+ROW()/100000,""))</f>
        <v/>
      </c>
    </row>
    <row r="204" customFormat="false" ht="15" hidden="false" customHeight="false" outlineLevel="0" collapsed="false">
      <c r="A204" s="0" t="str">
        <f aca="true">IF(B204="","",IF(B204&gt;=TODAY(),B204+ROW()/100000,""))</f>
        <v/>
      </c>
      <c r="B204" s="0" t="str">
        <f aca="false">IF(AND(Scadenze!E207&lt;&gt;"",Scadenze!H207&lt;&gt;"☑"),Scadenze!E207,"")</f>
        <v/>
      </c>
      <c r="C204" s="0" t="str">
        <f aca="false">IF(B204="","",Scadenze!A207)</f>
        <v/>
      </c>
      <c r="D204" s="0" t="str">
        <f aca="false">IF(B204="","",Scadenze!B207)</f>
        <v/>
      </c>
      <c r="E204" s="0" t="str">
        <f aca="false">IF(B204="","","Scadenza")</f>
        <v/>
      </c>
      <c r="F204" s="0" t="str">
        <f aca="true">IF(B204="","",IF(B204&lt;TODAY(),B204+ROW()/100000,""))</f>
        <v/>
      </c>
    </row>
    <row r="205" customFormat="false" ht="15" hidden="false" customHeight="false" outlineLevel="0" collapsed="false">
      <c r="A205" s="0" t="str">
        <f aca="true">IF(B205="","",IF(B205&gt;=TODAY(),B205+ROW()/100000,""))</f>
        <v/>
      </c>
      <c r="B205" s="0" t="str">
        <f aca="false">IF(AND(Scadenze!E208&lt;&gt;"",Scadenze!H208&lt;&gt;"☑"),Scadenze!E208,"")</f>
        <v/>
      </c>
      <c r="C205" s="0" t="str">
        <f aca="false">IF(B205="","",Scadenze!A208)</f>
        <v/>
      </c>
      <c r="D205" s="0" t="str">
        <f aca="false">IF(B205="","",Scadenze!B208)</f>
        <v/>
      </c>
      <c r="E205" s="0" t="str">
        <f aca="false">IF(B205="","","Scadenza")</f>
        <v/>
      </c>
      <c r="F205" s="0" t="str">
        <f aca="true">IF(B205="","",IF(B205&lt;TODAY(),B205+ROW()/100000,""))</f>
        <v/>
      </c>
    </row>
    <row r="206" customFormat="false" ht="15" hidden="false" customHeight="false" outlineLevel="0" collapsed="false">
      <c r="A206" s="0" t="str">
        <f aca="true">IF(B206="","",IF(B206&gt;=TODAY(),B206+ROW()/100000,""))</f>
        <v/>
      </c>
      <c r="B206" s="0" t="str">
        <f aca="false">IF(AND(Scadenze!E209&lt;&gt;"",Scadenze!H209&lt;&gt;"☑"),Scadenze!E209,"")</f>
        <v/>
      </c>
      <c r="C206" s="0" t="str">
        <f aca="false">IF(B206="","",Scadenze!A209)</f>
        <v/>
      </c>
      <c r="D206" s="0" t="str">
        <f aca="false">IF(B206="","",Scadenze!B209)</f>
        <v/>
      </c>
      <c r="E206" s="0" t="str">
        <f aca="false">IF(B206="","","Scadenza")</f>
        <v/>
      </c>
      <c r="F206" s="0" t="str">
        <f aca="true">IF(B206="","",IF(B206&lt;TODAY(),B206+ROW()/100000,""))</f>
        <v/>
      </c>
    </row>
    <row r="207" customFormat="false" ht="15" hidden="false" customHeight="false" outlineLevel="0" collapsed="false">
      <c r="A207" s="0" t="str">
        <f aca="true">IF(B207="","",IF(B207&gt;=TODAY(),B207+ROW()/100000,""))</f>
        <v/>
      </c>
      <c r="B207" s="0" t="str">
        <f aca="false">IF(AND(Scadenze!E210&lt;&gt;"",Scadenze!H210&lt;&gt;"☑"),Scadenze!E210,"")</f>
        <v/>
      </c>
      <c r="C207" s="0" t="str">
        <f aca="false">IF(B207="","",Scadenze!A210)</f>
        <v/>
      </c>
      <c r="D207" s="0" t="str">
        <f aca="false">IF(B207="","",Scadenze!B210)</f>
        <v/>
      </c>
      <c r="E207" s="0" t="str">
        <f aca="false">IF(B207="","","Scadenza")</f>
        <v/>
      </c>
      <c r="F207" s="0" t="str">
        <f aca="true">IF(B207="","",IF(B207&lt;TODAY(),B207+ROW()/100000,""))</f>
        <v/>
      </c>
    </row>
    <row r="208" customFormat="false" ht="15" hidden="false" customHeight="false" outlineLevel="0" collapsed="false">
      <c r="A208" s="0" t="str">
        <f aca="true">IF(B208="","",IF(B208&gt;=TODAY(),B208+ROW()/100000,""))</f>
        <v/>
      </c>
      <c r="B208" s="0" t="str">
        <f aca="false">IF(AND(Scadenze!E211&lt;&gt;"",Scadenze!H211&lt;&gt;"☑"),Scadenze!E211,"")</f>
        <v/>
      </c>
      <c r="C208" s="0" t="str">
        <f aca="false">IF(B208="","",Scadenze!A211)</f>
        <v/>
      </c>
      <c r="D208" s="0" t="str">
        <f aca="false">IF(B208="","",Scadenze!B211)</f>
        <v/>
      </c>
      <c r="E208" s="0" t="str">
        <f aca="false">IF(B208="","","Scadenza")</f>
        <v/>
      </c>
      <c r="F208" s="0" t="str">
        <f aca="true">IF(B208="","",IF(B208&lt;TODAY(),B208+ROW()/100000,""))</f>
        <v/>
      </c>
    </row>
    <row r="209" customFormat="false" ht="15" hidden="false" customHeight="false" outlineLevel="0" collapsed="false">
      <c r="A209" s="0" t="str">
        <f aca="true">IF(B209="","",IF(B209&gt;=TODAY(),B209+ROW()/100000,""))</f>
        <v/>
      </c>
      <c r="B209" s="0" t="str">
        <f aca="false">IF(AND(Scadenze!E212&lt;&gt;"",Scadenze!H212&lt;&gt;"☑"),Scadenze!E212,"")</f>
        <v/>
      </c>
      <c r="C209" s="0" t="str">
        <f aca="false">IF(B209="","",Scadenze!A212)</f>
        <v/>
      </c>
      <c r="D209" s="0" t="str">
        <f aca="false">IF(B209="","",Scadenze!B212)</f>
        <v/>
      </c>
      <c r="E209" s="0" t="str">
        <f aca="false">IF(B209="","","Scadenza")</f>
        <v/>
      </c>
      <c r="F209" s="0" t="str">
        <f aca="true">IF(B209="","",IF(B209&lt;TODAY(),B209+ROW()/100000,""))</f>
        <v/>
      </c>
    </row>
    <row r="210" customFormat="false" ht="15" hidden="false" customHeight="false" outlineLevel="0" collapsed="false">
      <c r="A210" s="0" t="str">
        <f aca="true">IF(B210="","",IF(B210&gt;=TODAY(),B210+ROW()/100000,""))</f>
        <v/>
      </c>
      <c r="B210" s="0" t="str">
        <f aca="false">IF(AND(Scadenze!E213&lt;&gt;"",Scadenze!H213&lt;&gt;"☑"),Scadenze!E213,"")</f>
        <v/>
      </c>
      <c r="C210" s="0" t="str">
        <f aca="false">IF(B210="","",Scadenze!A213)</f>
        <v/>
      </c>
      <c r="D210" s="0" t="str">
        <f aca="false">IF(B210="","",Scadenze!B213)</f>
        <v/>
      </c>
      <c r="E210" s="0" t="str">
        <f aca="false">IF(B210="","","Scadenza")</f>
        <v/>
      </c>
      <c r="F210" s="0" t="str">
        <f aca="true">IF(B210="","",IF(B210&lt;TODAY(),B210+ROW()/100000,""))</f>
        <v/>
      </c>
    </row>
    <row r="211" customFormat="false" ht="15" hidden="false" customHeight="false" outlineLevel="0" collapsed="false">
      <c r="A211" s="0" t="str">
        <f aca="true">IF(B211="","",IF(B211&gt;=TODAY(),B211+ROW()/100000,""))</f>
        <v/>
      </c>
      <c r="B211" s="0" t="str">
        <f aca="false">IF(AND(Scadenze!E214&lt;&gt;"",Scadenze!H214&lt;&gt;"☑"),Scadenze!E214,"")</f>
        <v/>
      </c>
      <c r="C211" s="0" t="str">
        <f aca="false">IF(B211="","",Scadenze!A214)</f>
        <v/>
      </c>
      <c r="D211" s="0" t="str">
        <f aca="false">IF(B211="","",Scadenze!B214)</f>
        <v/>
      </c>
      <c r="E211" s="0" t="str">
        <f aca="false">IF(B211="","","Scadenza")</f>
        <v/>
      </c>
      <c r="F211" s="0" t="str">
        <f aca="true">IF(B211="","",IF(B211&lt;TODAY(),B211+ROW()/100000,""))</f>
        <v/>
      </c>
    </row>
    <row r="212" customFormat="false" ht="15" hidden="false" customHeight="false" outlineLevel="0" collapsed="false">
      <c r="A212" s="0" t="str">
        <f aca="true">IF(B212="","",IF(B212&gt;=TODAY(),B212+ROW()/100000,""))</f>
        <v/>
      </c>
      <c r="B212" s="0" t="str">
        <f aca="false">IF(AND(Scadenze!E215&lt;&gt;"",Scadenze!H215&lt;&gt;"☑"),Scadenze!E215,"")</f>
        <v/>
      </c>
      <c r="C212" s="0" t="str">
        <f aca="false">IF(B212="","",Scadenze!A215)</f>
        <v/>
      </c>
      <c r="D212" s="0" t="str">
        <f aca="false">IF(B212="","",Scadenze!B215)</f>
        <v/>
      </c>
      <c r="E212" s="0" t="str">
        <f aca="false">IF(B212="","","Scadenza")</f>
        <v/>
      </c>
      <c r="F212" s="0" t="str">
        <f aca="true">IF(B212="","",IF(B212&lt;TODAY(),B212+ROW()/100000,""))</f>
        <v/>
      </c>
    </row>
    <row r="213" customFormat="false" ht="15" hidden="false" customHeight="false" outlineLevel="0" collapsed="false">
      <c r="A213" s="0" t="str">
        <f aca="true">IF(B213="","",IF(B213&gt;=TODAY(),B213+ROW()/100000,""))</f>
        <v/>
      </c>
      <c r="B213" s="0" t="str">
        <f aca="false">IF(AND(Scadenze!E216&lt;&gt;"",Scadenze!H216&lt;&gt;"☑"),Scadenze!E216,"")</f>
        <v/>
      </c>
      <c r="C213" s="0" t="str">
        <f aca="false">IF(B213="","",Scadenze!A216)</f>
        <v/>
      </c>
      <c r="D213" s="0" t="str">
        <f aca="false">IF(B213="","",Scadenze!B216)</f>
        <v/>
      </c>
      <c r="E213" s="0" t="str">
        <f aca="false">IF(B213="","","Scadenza")</f>
        <v/>
      </c>
      <c r="F213" s="0" t="str">
        <f aca="true">IF(B213="","",IF(B213&lt;TODAY(),B213+ROW()/100000,""))</f>
        <v/>
      </c>
    </row>
    <row r="214" customFormat="false" ht="15" hidden="false" customHeight="false" outlineLevel="0" collapsed="false">
      <c r="A214" s="0" t="str">
        <f aca="true">IF(B214="","",IF(B214&gt;=TODAY(),B214+ROW()/100000,""))</f>
        <v/>
      </c>
      <c r="B214" s="0" t="str">
        <f aca="false">IF(AND(Scadenze!E217&lt;&gt;"",Scadenze!H217&lt;&gt;"☑"),Scadenze!E217,"")</f>
        <v/>
      </c>
      <c r="C214" s="0" t="str">
        <f aca="false">IF(B214="","",Scadenze!A217)</f>
        <v/>
      </c>
      <c r="D214" s="0" t="str">
        <f aca="false">IF(B214="","",Scadenze!B217)</f>
        <v/>
      </c>
      <c r="E214" s="0" t="str">
        <f aca="false">IF(B214="","","Scadenza")</f>
        <v/>
      </c>
      <c r="F214" s="0" t="str">
        <f aca="true">IF(B214="","",IF(B214&lt;TODAY(),B214+ROW()/100000,""))</f>
        <v/>
      </c>
    </row>
    <row r="215" customFormat="false" ht="15" hidden="false" customHeight="false" outlineLevel="0" collapsed="false">
      <c r="A215" s="0" t="str">
        <f aca="true">IF(B215="","",IF(B215&gt;=TODAY(),B215+ROW()/100000,""))</f>
        <v/>
      </c>
      <c r="B215" s="0" t="str">
        <f aca="false">IF(AND(Scadenze!E218&lt;&gt;"",Scadenze!H218&lt;&gt;"☑"),Scadenze!E218,"")</f>
        <v/>
      </c>
      <c r="C215" s="0" t="str">
        <f aca="false">IF(B215="","",Scadenze!A218)</f>
        <v/>
      </c>
      <c r="D215" s="0" t="str">
        <f aca="false">IF(B215="","",Scadenze!B218)</f>
        <v/>
      </c>
      <c r="E215" s="0" t="str">
        <f aca="false">IF(B215="","","Scadenza")</f>
        <v/>
      </c>
      <c r="F215" s="0" t="str">
        <f aca="true">IF(B215="","",IF(B215&lt;TODAY(),B215+ROW()/100000,""))</f>
        <v/>
      </c>
    </row>
    <row r="216" customFormat="false" ht="15" hidden="false" customHeight="false" outlineLevel="0" collapsed="false">
      <c r="A216" s="0" t="str">
        <f aca="true">IF(B216="","",IF(B216&gt;=TODAY(),B216+ROW()/100000,""))</f>
        <v/>
      </c>
      <c r="B216" s="0" t="str">
        <f aca="false">IF(AND(Scadenze!E219&lt;&gt;"",Scadenze!H219&lt;&gt;"☑"),Scadenze!E219,"")</f>
        <v/>
      </c>
      <c r="C216" s="0" t="str">
        <f aca="false">IF(B216="","",Scadenze!A219)</f>
        <v/>
      </c>
      <c r="D216" s="0" t="str">
        <f aca="false">IF(B216="","",Scadenze!B219)</f>
        <v/>
      </c>
      <c r="E216" s="0" t="str">
        <f aca="false">IF(B216="","","Scadenza")</f>
        <v/>
      </c>
      <c r="F216" s="0" t="str">
        <f aca="true">IF(B216="","",IF(B216&lt;TODAY(),B216+ROW()/100000,""))</f>
        <v/>
      </c>
    </row>
    <row r="217" customFormat="false" ht="15" hidden="false" customHeight="false" outlineLevel="0" collapsed="false">
      <c r="A217" s="0" t="str">
        <f aca="true">IF(B217="","",IF(B217&gt;=TODAY(),B217+ROW()/100000,""))</f>
        <v/>
      </c>
      <c r="B217" s="0" t="str">
        <f aca="false">IF(AND(Scadenze!E220&lt;&gt;"",Scadenze!H220&lt;&gt;"☑"),Scadenze!E220,"")</f>
        <v/>
      </c>
      <c r="C217" s="0" t="str">
        <f aca="false">IF(B217="","",Scadenze!A220)</f>
        <v/>
      </c>
      <c r="D217" s="0" t="str">
        <f aca="false">IF(B217="","",Scadenze!B220)</f>
        <v/>
      </c>
      <c r="E217" s="0" t="str">
        <f aca="false">IF(B217="","","Scadenza")</f>
        <v/>
      </c>
      <c r="F217" s="0" t="str">
        <f aca="true">IF(B217="","",IF(B217&lt;TODAY(),B217+ROW()/100000,""))</f>
        <v/>
      </c>
    </row>
    <row r="218" customFormat="false" ht="15" hidden="false" customHeight="false" outlineLevel="0" collapsed="false">
      <c r="A218" s="0" t="str">
        <f aca="true">IF(B218="","",IF(B218&gt;=TODAY(),B218+ROW()/100000,""))</f>
        <v/>
      </c>
      <c r="B218" s="0" t="str">
        <f aca="false">IF(AND(Scadenze!E221&lt;&gt;"",Scadenze!H221&lt;&gt;"☑"),Scadenze!E221,"")</f>
        <v/>
      </c>
      <c r="C218" s="0" t="str">
        <f aca="false">IF(B218="","",Scadenze!A221)</f>
        <v/>
      </c>
      <c r="D218" s="0" t="str">
        <f aca="false">IF(B218="","",Scadenze!B221)</f>
        <v/>
      </c>
      <c r="E218" s="0" t="str">
        <f aca="false">IF(B218="","","Scadenza")</f>
        <v/>
      </c>
      <c r="F218" s="0" t="str">
        <f aca="true">IF(B218="","",IF(B218&lt;TODAY(),B218+ROW()/100000,""))</f>
        <v/>
      </c>
    </row>
    <row r="219" customFormat="false" ht="15" hidden="false" customHeight="false" outlineLevel="0" collapsed="false">
      <c r="A219" s="0" t="str">
        <f aca="true">IF(B219="","",IF(B219&gt;=TODAY(),B219+ROW()/100000,""))</f>
        <v/>
      </c>
      <c r="B219" s="0" t="str">
        <f aca="false">IF(AND(Scadenze!E222&lt;&gt;"",Scadenze!H222&lt;&gt;"☑"),Scadenze!E222,"")</f>
        <v/>
      </c>
      <c r="C219" s="0" t="str">
        <f aca="false">IF(B219="","",Scadenze!A222)</f>
        <v/>
      </c>
      <c r="D219" s="0" t="str">
        <f aca="false">IF(B219="","",Scadenze!B222)</f>
        <v/>
      </c>
      <c r="E219" s="0" t="str">
        <f aca="false">IF(B219="","","Scadenza")</f>
        <v/>
      </c>
      <c r="F219" s="0" t="str">
        <f aca="true">IF(B219="","",IF(B219&lt;TODAY(),B219+ROW()/100000,""))</f>
        <v/>
      </c>
    </row>
    <row r="220" customFormat="false" ht="15" hidden="false" customHeight="false" outlineLevel="0" collapsed="false">
      <c r="A220" s="0" t="str">
        <f aca="true">IF(B220="","",IF(B220&gt;=TODAY(),B220+ROW()/100000,""))</f>
        <v/>
      </c>
      <c r="B220" s="0" t="str">
        <f aca="false">IF(AND(Scadenze!E223&lt;&gt;"",Scadenze!H223&lt;&gt;"☑"),Scadenze!E223,"")</f>
        <v/>
      </c>
      <c r="C220" s="0" t="str">
        <f aca="false">IF(B220="","",Scadenze!A223)</f>
        <v/>
      </c>
      <c r="D220" s="0" t="str">
        <f aca="false">IF(B220="","",Scadenze!B223)</f>
        <v/>
      </c>
      <c r="E220" s="0" t="str">
        <f aca="false">IF(B220="","","Scadenza")</f>
        <v/>
      </c>
      <c r="F220" s="0" t="str">
        <f aca="true">IF(B220="","",IF(B220&lt;TODAY(),B220+ROW()/100000,""))</f>
        <v/>
      </c>
    </row>
    <row r="221" customFormat="false" ht="15" hidden="false" customHeight="false" outlineLevel="0" collapsed="false">
      <c r="A221" s="0" t="str">
        <f aca="true">IF(B221="","",IF(B221&gt;=TODAY(),B221+ROW()/100000,""))</f>
        <v/>
      </c>
      <c r="B221" s="0" t="str">
        <f aca="false">IF(AND(Scadenze!E224&lt;&gt;"",Scadenze!H224&lt;&gt;"☑"),Scadenze!E224,"")</f>
        <v/>
      </c>
      <c r="C221" s="0" t="str">
        <f aca="false">IF(B221="","",Scadenze!A224)</f>
        <v/>
      </c>
      <c r="D221" s="0" t="str">
        <f aca="false">IF(B221="","",Scadenze!B224)</f>
        <v/>
      </c>
      <c r="E221" s="0" t="str">
        <f aca="false">IF(B221="","","Scadenza")</f>
        <v/>
      </c>
      <c r="F221" s="0" t="str">
        <f aca="true">IF(B221="","",IF(B221&lt;TODAY(),B221+ROW()/100000,""))</f>
        <v/>
      </c>
    </row>
    <row r="222" customFormat="false" ht="15" hidden="false" customHeight="false" outlineLevel="0" collapsed="false">
      <c r="A222" s="0" t="str">
        <f aca="true">IF(B222="","",IF(B222&gt;=TODAY(),B222+ROW()/100000,""))</f>
        <v/>
      </c>
      <c r="B222" s="0" t="str">
        <f aca="false">IF(AND(Scadenze!E225&lt;&gt;"",Scadenze!H225&lt;&gt;"☑"),Scadenze!E225,"")</f>
        <v/>
      </c>
      <c r="C222" s="0" t="str">
        <f aca="false">IF(B222="","",Scadenze!A225)</f>
        <v/>
      </c>
      <c r="D222" s="0" t="str">
        <f aca="false">IF(B222="","",Scadenze!B225)</f>
        <v/>
      </c>
      <c r="E222" s="0" t="str">
        <f aca="false">IF(B222="","","Scadenza")</f>
        <v/>
      </c>
      <c r="F222" s="0" t="str">
        <f aca="true">IF(B222="","",IF(B222&lt;TODAY(),B222+ROW()/100000,""))</f>
        <v/>
      </c>
    </row>
    <row r="223" customFormat="false" ht="15" hidden="false" customHeight="false" outlineLevel="0" collapsed="false">
      <c r="A223" s="0" t="str">
        <f aca="true">IF(B223="","",IF(B223&gt;=TODAY(),B223+ROW()/100000,""))</f>
        <v/>
      </c>
      <c r="B223" s="0" t="str">
        <f aca="false">IF(AND(Scadenze!E226&lt;&gt;"",Scadenze!H226&lt;&gt;"☑"),Scadenze!E226,"")</f>
        <v/>
      </c>
      <c r="C223" s="0" t="str">
        <f aca="false">IF(B223="","",Scadenze!A226)</f>
        <v/>
      </c>
      <c r="D223" s="0" t="str">
        <f aca="false">IF(B223="","",Scadenze!B226)</f>
        <v/>
      </c>
      <c r="E223" s="0" t="str">
        <f aca="false">IF(B223="","","Scadenza")</f>
        <v/>
      </c>
      <c r="F223" s="0" t="str">
        <f aca="true">IF(B223="","",IF(B223&lt;TODAY(),B223+ROW()/100000,""))</f>
        <v/>
      </c>
    </row>
    <row r="224" customFormat="false" ht="15" hidden="false" customHeight="false" outlineLevel="0" collapsed="false">
      <c r="A224" s="0" t="str">
        <f aca="true">IF(B224="","",IF(B224&gt;=TODAY(),B224+ROW()/100000,""))</f>
        <v/>
      </c>
      <c r="B224" s="0" t="str">
        <f aca="false">IF(AND(Scadenze!E227&lt;&gt;"",Scadenze!H227&lt;&gt;"☑"),Scadenze!E227,"")</f>
        <v/>
      </c>
      <c r="C224" s="0" t="str">
        <f aca="false">IF(B224="","",Scadenze!A227)</f>
        <v/>
      </c>
      <c r="D224" s="0" t="str">
        <f aca="false">IF(B224="","",Scadenze!B227)</f>
        <v/>
      </c>
      <c r="E224" s="0" t="str">
        <f aca="false">IF(B224="","","Scadenza")</f>
        <v/>
      </c>
      <c r="F224" s="0" t="str">
        <f aca="true">IF(B224="","",IF(B224&lt;TODAY(),B224+ROW()/100000,""))</f>
        <v/>
      </c>
    </row>
    <row r="225" customFormat="false" ht="15" hidden="false" customHeight="false" outlineLevel="0" collapsed="false">
      <c r="A225" s="0" t="str">
        <f aca="true">IF(B225="","",IF(B225&gt;=TODAY(),B225+ROW()/100000,""))</f>
        <v/>
      </c>
      <c r="B225" s="0" t="str">
        <f aca="false">IF(AND(Scadenze!E228&lt;&gt;"",Scadenze!H228&lt;&gt;"☑"),Scadenze!E228,"")</f>
        <v/>
      </c>
      <c r="C225" s="0" t="str">
        <f aca="false">IF(B225="","",Scadenze!A228)</f>
        <v/>
      </c>
      <c r="D225" s="0" t="str">
        <f aca="false">IF(B225="","",Scadenze!B228)</f>
        <v/>
      </c>
      <c r="E225" s="0" t="str">
        <f aca="false">IF(B225="","","Scadenza")</f>
        <v/>
      </c>
      <c r="F225" s="0" t="str">
        <f aca="true">IF(B225="","",IF(B225&lt;TODAY(),B225+ROW()/100000,""))</f>
        <v/>
      </c>
    </row>
    <row r="226" customFormat="false" ht="15" hidden="false" customHeight="false" outlineLevel="0" collapsed="false">
      <c r="A226" s="0" t="str">
        <f aca="true">IF(B226="","",IF(B226&gt;=TODAY(),B226+ROW()/100000,""))</f>
        <v/>
      </c>
      <c r="B226" s="0" t="str">
        <f aca="false">IF(AND(Scadenze!E229&lt;&gt;"",Scadenze!H229&lt;&gt;"☑"),Scadenze!E229,"")</f>
        <v/>
      </c>
      <c r="C226" s="0" t="str">
        <f aca="false">IF(B226="","",Scadenze!A229)</f>
        <v/>
      </c>
      <c r="D226" s="0" t="str">
        <f aca="false">IF(B226="","",Scadenze!B229)</f>
        <v/>
      </c>
      <c r="E226" s="0" t="str">
        <f aca="false">IF(B226="","","Scadenza")</f>
        <v/>
      </c>
      <c r="F226" s="0" t="str">
        <f aca="true">IF(B226="","",IF(B226&lt;TODAY(),B226+ROW()/100000,""))</f>
        <v/>
      </c>
    </row>
    <row r="227" customFormat="false" ht="15" hidden="false" customHeight="false" outlineLevel="0" collapsed="false">
      <c r="A227" s="0" t="str">
        <f aca="true">IF(B227="","",IF(B227&gt;=TODAY(),B227+ROW()/100000,""))</f>
        <v/>
      </c>
      <c r="B227" s="0" t="str">
        <f aca="false">IF(AND(Scadenze!E230&lt;&gt;"",Scadenze!H230&lt;&gt;"☑"),Scadenze!E230,"")</f>
        <v/>
      </c>
      <c r="C227" s="0" t="str">
        <f aca="false">IF(B227="","",Scadenze!A230)</f>
        <v/>
      </c>
      <c r="D227" s="0" t="str">
        <f aca="false">IF(B227="","",Scadenze!B230)</f>
        <v/>
      </c>
      <c r="E227" s="0" t="str">
        <f aca="false">IF(B227="","","Scadenza")</f>
        <v/>
      </c>
      <c r="F227" s="0" t="str">
        <f aca="true">IF(B227="","",IF(B227&lt;TODAY(),B227+ROW()/100000,""))</f>
        <v/>
      </c>
    </row>
    <row r="228" customFormat="false" ht="15" hidden="false" customHeight="false" outlineLevel="0" collapsed="false">
      <c r="A228" s="0" t="str">
        <f aca="true">IF(B228="","",IF(B228&gt;=TODAY(),B228+ROW()/100000,""))</f>
        <v/>
      </c>
      <c r="B228" s="0" t="str">
        <f aca="false">IF(AND(Scadenze!E231&lt;&gt;"",Scadenze!H231&lt;&gt;"☑"),Scadenze!E231,"")</f>
        <v/>
      </c>
      <c r="C228" s="0" t="str">
        <f aca="false">IF(B228="","",Scadenze!A231)</f>
        <v/>
      </c>
      <c r="D228" s="0" t="str">
        <f aca="false">IF(B228="","",Scadenze!B231)</f>
        <v/>
      </c>
      <c r="E228" s="0" t="str">
        <f aca="false">IF(B228="","","Scadenza")</f>
        <v/>
      </c>
      <c r="F228" s="0" t="str">
        <f aca="true">IF(B228="","",IF(B228&lt;TODAY(),B228+ROW()/100000,""))</f>
        <v/>
      </c>
    </row>
    <row r="229" customFormat="false" ht="15" hidden="false" customHeight="false" outlineLevel="0" collapsed="false">
      <c r="A229" s="0" t="str">
        <f aca="true">IF(B229="","",IF(B229&gt;=TODAY(),B229+ROW()/100000,""))</f>
        <v/>
      </c>
      <c r="B229" s="0" t="str">
        <f aca="false">IF(AND(Scadenze!E232&lt;&gt;"",Scadenze!H232&lt;&gt;"☑"),Scadenze!E232,"")</f>
        <v/>
      </c>
      <c r="C229" s="0" t="str">
        <f aca="false">IF(B229="","",Scadenze!A232)</f>
        <v/>
      </c>
      <c r="D229" s="0" t="str">
        <f aca="false">IF(B229="","",Scadenze!B232)</f>
        <v/>
      </c>
      <c r="E229" s="0" t="str">
        <f aca="false">IF(B229="","","Scadenza")</f>
        <v/>
      </c>
      <c r="F229" s="0" t="str">
        <f aca="true">IF(B229="","",IF(B229&lt;TODAY(),B229+ROW()/100000,""))</f>
        <v/>
      </c>
    </row>
    <row r="230" customFormat="false" ht="15" hidden="false" customHeight="false" outlineLevel="0" collapsed="false">
      <c r="A230" s="0" t="str">
        <f aca="true">IF(B230="","",IF(B230&gt;=TODAY(),B230+ROW()/100000,""))</f>
        <v/>
      </c>
      <c r="B230" s="0" t="str">
        <f aca="false">IF(AND(Scadenze!E233&lt;&gt;"",Scadenze!H233&lt;&gt;"☑"),Scadenze!E233,"")</f>
        <v/>
      </c>
      <c r="C230" s="0" t="str">
        <f aca="false">IF(B230="","",Scadenze!A233)</f>
        <v/>
      </c>
      <c r="D230" s="0" t="str">
        <f aca="false">IF(B230="","",Scadenze!B233)</f>
        <v/>
      </c>
      <c r="E230" s="0" t="str">
        <f aca="false">IF(B230="","","Scadenza")</f>
        <v/>
      </c>
      <c r="F230" s="0" t="str">
        <f aca="true">IF(B230="","",IF(B230&lt;TODAY(),B230+ROW()/100000,""))</f>
        <v/>
      </c>
    </row>
    <row r="231" customFormat="false" ht="15" hidden="false" customHeight="false" outlineLevel="0" collapsed="false">
      <c r="A231" s="0" t="str">
        <f aca="true">IF(B231="","",IF(B231&gt;=TODAY(),B231+ROW()/100000,""))</f>
        <v/>
      </c>
      <c r="B231" s="0" t="str">
        <f aca="false">IF(AND(Scadenze!E234&lt;&gt;"",Scadenze!H234&lt;&gt;"☑"),Scadenze!E234,"")</f>
        <v/>
      </c>
      <c r="C231" s="0" t="str">
        <f aca="false">IF(B231="","",Scadenze!A234)</f>
        <v/>
      </c>
      <c r="D231" s="0" t="str">
        <f aca="false">IF(B231="","",Scadenze!B234)</f>
        <v/>
      </c>
      <c r="E231" s="0" t="str">
        <f aca="false">IF(B231="","","Scadenza")</f>
        <v/>
      </c>
      <c r="F231" s="0" t="str">
        <f aca="true">IF(B231="","",IF(B231&lt;TODAY(),B231+ROW()/100000,""))</f>
        <v/>
      </c>
    </row>
    <row r="232" customFormat="false" ht="15" hidden="false" customHeight="false" outlineLevel="0" collapsed="false">
      <c r="A232" s="0" t="str">
        <f aca="true">IF(B232="","",IF(B232&gt;=TODAY(),B232+ROW()/100000,""))</f>
        <v/>
      </c>
      <c r="B232" s="0" t="str">
        <f aca="false">IF(AND(Scadenze!E235&lt;&gt;"",Scadenze!H235&lt;&gt;"☑"),Scadenze!E235,"")</f>
        <v/>
      </c>
      <c r="C232" s="0" t="str">
        <f aca="false">IF(B232="","",Scadenze!A235)</f>
        <v/>
      </c>
      <c r="D232" s="0" t="str">
        <f aca="false">IF(B232="","",Scadenze!B235)</f>
        <v/>
      </c>
      <c r="E232" s="0" t="str">
        <f aca="false">IF(B232="","","Scadenza")</f>
        <v/>
      </c>
      <c r="F232" s="0" t="str">
        <f aca="true">IF(B232="","",IF(B232&lt;TODAY(),B232+ROW()/100000,""))</f>
        <v/>
      </c>
    </row>
    <row r="233" customFormat="false" ht="15" hidden="false" customHeight="false" outlineLevel="0" collapsed="false">
      <c r="A233" s="0" t="str">
        <f aca="true">IF(B233="","",IF(B233&gt;=TODAY(),B233+ROW()/100000,""))</f>
        <v/>
      </c>
      <c r="B233" s="0" t="str">
        <f aca="false">IF(AND(Scadenze!E236&lt;&gt;"",Scadenze!H236&lt;&gt;"☑"),Scadenze!E236,"")</f>
        <v/>
      </c>
      <c r="C233" s="0" t="str">
        <f aca="false">IF(B233="","",Scadenze!A236)</f>
        <v/>
      </c>
      <c r="D233" s="0" t="str">
        <f aca="false">IF(B233="","",Scadenze!B236)</f>
        <v/>
      </c>
      <c r="E233" s="0" t="str">
        <f aca="false">IF(B233="","","Scadenza")</f>
        <v/>
      </c>
      <c r="F233" s="0" t="str">
        <f aca="true">IF(B233="","",IF(B233&lt;TODAY(),B233+ROW()/100000,""))</f>
        <v/>
      </c>
    </row>
    <row r="234" customFormat="false" ht="15" hidden="false" customHeight="false" outlineLevel="0" collapsed="false">
      <c r="A234" s="0" t="str">
        <f aca="true">IF(B234="","",IF(B234&gt;=TODAY(),B234+ROW()/100000,""))</f>
        <v/>
      </c>
      <c r="B234" s="0" t="str">
        <f aca="false">IF(AND(Scadenze!E237&lt;&gt;"",Scadenze!H237&lt;&gt;"☑"),Scadenze!E237,"")</f>
        <v/>
      </c>
      <c r="C234" s="0" t="str">
        <f aca="false">IF(B234="","",Scadenze!A237)</f>
        <v/>
      </c>
      <c r="D234" s="0" t="str">
        <f aca="false">IF(B234="","",Scadenze!B237)</f>
        <v/>
      </c>
      <c r="E234" s="0" t="str">
        <f aca="false">IF(B234="","","Scadenza")</f>
        <v/>
      </c>
      <c r="F234" s="0" t="str">
        <f aca="true">IF(B234="","",IF(B234&lt;TODAY(),B234+ROW()/100000,""))</f>
        <v/>
      </c>
    </row>
    <row r="235" customFormat="false" ht="15" hidden="false" customHeight="false" outlineLevel="0" collapsed="false">
      <c r="A235" s="0" t="str">
        <f aca="true">IF(B235="","",IF(B235&gt;=TODAY(),B235+ROW()/100000,""))</f>
        <v/>
      </c>
      <c r="B235" s="0" t="str">
        <f aca="false">IF(AND(Scadenze!E238&lt;&gt;"",Scadenze!H238&lt;&gt;"☑"),Scadenze!E238,"")</f>
        <v/>
      </c>
      <c r="C235" s="0" t="str">
        <f aca="false">IF(B235="","",Scadenze!A238)</f>
        <v/>
      </c>
      <c r="D235" s="0" t="str">
        <f aca="false">IF(B235="","",Scadenze!B238)</f>
        <v/>
      </c>
      <c r="E235" s="0" t="str">
        <f aca="false">IF(B235="","","Scadenza")</f>
        <v/>
      </c>
      <c r="F235" s="0" t="str">
        <f aca="true">IF(B235="","",IF(B235&lt;TODAY(),B235+ROW()/100000,""))</f>
        <v/>
      </c>
    </row>
    <row r="236" customFormat="false" ht="15" hidden="false" customHeight="false" outlineLevel="0" collapsed="false">
      <c r="A236" s="0" t="str">
        <f aca="true">IF(B236="","",IF(B236&gt;=TODAY(),B236+ROW()/100000,""))</f>
        <v/>
      </c>
      <c r="B236" s="0" t="str">
        <f aca="false">IF(AND(Scadenze!E239&lt;&gt;"",Scadenze!H239&lt;&gt;"☑"),Scadenze!E239,"")</f>
        <v/>
      </c>
      <c r="C236" s="0" t="str">
        <f aca="false">IF(B236="","",Scadenze!A239)</f>
        <v/>
      </c>
      <c r="D236" s="0" t="str">
        <f aca="false">IF(B236="","",Scadenze!B239)</f>
        <v/>
      </c>
      <c r="E236" s="0" t="str">
        <f aca="false">IF(B236="","","Scadenza")</f>
        <v/>
      </c>
      <c r="F236" s="0" t="str">
        <f aca="true">IF(B236="","",IF(B236&lt;TODAY(),B236+ROW()/100000,""))</f>
        <v/>
      </c>
    </row>
    <row r="237" customFormat="false" ht="15" hidden="false" customHeight="false" outlineLevel="0" collapsed="false">
      <c r="A237" s="0" t="str">
        <f aca="true">IF(B237="","",IF(B237&gt;=TODAY(),B237+ROW()/100000,""))</f>
        <v/>
      </c>
      <c r="B237" s="0" t="str">
        <f aca="false">IF(AND(Scadenze!E240&lt;&gt;"",Scadenze!H240&lt;&gt;"☑"),Scadenze!E240,"")</f>
        <v/>
      </c>
      <c r="C237" s="0" t="str">
        <f aca="false">IF(B237="","",Scadenze!A240)</f>
        <v/>
      </c>
      <c r="D237" s="0" t="str">
        <f aca="false">IF(B237="","",Scadenze!B240)</f>
        <v/>
      </c>
      <c r="E237" s="0" t="str">
        <f aca="false">IF(B237="","","Scadenza")</f>
        <v/>
      </c>
      <c r="F237" s="0" t="str">
        <f aca="true">IF(B237="","",IF(B237&lt;TODAY(),B237+ROW()/100000,""))</f>
        <v/>
      </c>
    </row>
    <row r="238" customFormat="false" ht="15" hidden="false" customHeight="false" outlineLevel="0" collapsed="false">
      <c r="A238" s="0" t="str">
        <f aca="true">IF(B238="","",IF(B238&gt;=TODAY(),B238+ROW()/100000,""))</f>
        <v/>
      </c>
      <c r="B238" s="0" t="str">
        <f aca="false">IF(AND(Scadenze!E241&lt;&gt;"",Scadenze!H241&lt;&gt;"☑"),Scadenze!E241,"")</f>
        <v/>
      </c>
      <c r="C238" s="0" t="str">
        <f aca="false">IF(B238="","",Scadenze!A241)</f>
        <v/>
      </c>
      <c r="D238" s="0" t="str">
        <f aca="false">IF(B238="","",Scadenze!B241)</f>
        <v/>
      </c>
      <c r="E238" s="0" t="str">
        <f aca="false">IF(B238="","","Scadenza")</f>
        <v/>
      </c>
      <c r="F238" s="0" t="str">
        <f aca="true">IF(B238="","",IF(B238&lt;TODAY(),B238+ROW()/100000,""))</f>
        <v/>
      </c>
    </row>
    <row r="239" customFormat="false" ht="15" hidden="false" customHeight="false" outlineLevel="0" collapsed="false">
      <c r="A239" s="0" t="str">
        <f aca="true">IF(B239="","",IF(B239&gt;=TODAY(),B239+ROW()/100000,""))</f>
        <v/>
      </c>
      <c r="B239" s="0" t="str">
        <f aca="false">IF(AND(Scadenze!E242&lt;&gt;"",Scadenze!H242&lt;&gt;"☑"),Scadenze!E242,"")</f>
        <v/>
      </c>
      <c r="C239" s="0" t="str">
        <f aca="false">IF(B239="","",Scadenze!A242)</f>
        <v/>
      </c>
      <c r="D239" s="0" t="str">
        <f aca="false">IF(B239="","",Scadenze!B242)</f>
        <v/>
      </c>
      <c r="E239" s="0" t="str">
        <f aca="false">IF(B239="","","Scadenza")</f>
        <v/>
      </c>
      <c r="F239" s="0" t="str">
        <f aca="true">IF(B239="","",IF(B239&lt;TODAY(),B239+ROW()/100000,""))</f>
        <v/>
      </c>
    </row>
    <row r="240" customFormat="false" ht="15" hidden="false" customHeight="false" outlineLevel="0" collapsed="false">
      <c r="A240" s="0" t="str">
        <f aca="true">IF(B240="","",IF(B240&gt;=TODAY(),B240+ROW()/100000,""))</f>
        <v/>
      </c>
      <c r="B240" s="0" t="str">
        <f aca="false">IF(AND(Scadenze!E243&lt;&gt;"",Scadenze!H243&lt;&gt;"☑"),Scadenze!E243,"")</f>
        <v/>
      </c>
      <c r="C240" s="0" t="str">
        <f aca="false">IF(B240="","",Scadenze!A243)</f>
        <v/>
      </c>
      <c r="D240" s="0" t="str">
        <f aca="false">IF(B240="","",Scadenze!B243)</f>
        <v/>
      </c>
      <c r="E240" s="0" t="str">
        <f aca="false">IF(B240="","","Scadenza")</f>
        <v/>
      </c>
      <c r="F240" s="0" t="str">
        <f aca="true">IF(B240="","",IF(B240&lt;TODAY(),B240+ROW()/100000,""))</f>
        <v/>
      </c>
    </row>
    <row r="241" customFormat="false" ht="15" hidden="false" customHeight="false" outlineLevel="0" collapsed="false">
      <c r="A241" s="0" t="str">
        <f aca="true">IF(B241="","",IF(B241&gt;=TODAY(),B241+ROW()/100000,""))</f>
        <v/>
      </c>
      <c r="B241" s="0" t="str">
        <f aca="false">IF(AND(Scadenze!E244&lt;&gt;"",Scadenze!H244&lt;&gt;"☑"),Scadenze!E244,"")</f>
        <v/>
      </c>
      <c r="C241" s="0" t="str">
        <f aca="false">IF(B241="","",Scadenze!A244)</f>
        <v/>
      </c>
      <c r="D241" s="0" t="str">
        <f aca="false">IF(B241="","",Scadenze!B244)</f>
        <v/>
      </c>
      <c r="E241" s="0" t="str">
        <f aca="false">IF(B241="","","Scadenza")</f>
        <v/>
      </c>
      <c r="F241" s="0" t="str">
        <f aca="true">IF(B241="","",IF(B241&lt;TODAY(),B241+ROW()/100000,""))</f>
        <v/>
      </c>
    </row>
    <row r="242" customFormat="false" ht="15" hidden="false" customHeight="false" outlineLevel="0" collapsed="false">
      <c r="A242" s="0" t="str">
        <f aca="true">IF(B242="","",IF(B242&gt;=TODAY(),B242+ROW()/100000,""))</f>
        <v/>
      </c>
      <c r="B242" s="0" t="str">
        <f aca="false">IF(AND(Scadenze!E245&lt;&gt;"",Scadenze!H245&lt;&gt;"☑"),Scadenze!E245,"")</f>
        <v/>
      </c>
      <c r="C242" s="0" t="str">
        <f aca="false">IF(B242="","",Scadenze!A245)</f>
        <v/>
      </c>
      <c r="D242" s="0" t="str">
        <f aca="false">IF(B242="","",Scadenze!B245)</f>
        <v/>
      </c>
      <c r="E242" s="0" t="str">
        <f aca="false">IF(B242="","","Scadenza")</f>
        <v/>
      </c>
      <c r="F242" s="0" t="str">
        <f aca="true">IF(B242="","",IF(B242&lt;TODAY(),B242+ROW()/100000,""))</f>
        <v/>
      </c>
    </row>
    <row r="243" customFormat="false" ht="15" hidden="false" customHeight="false" outlineLevel="0" collapsed="false">
      <c r="A243" s="0" t="str">
        <f aca="true">IF(B243="","",IF(B243&gt;=TODAY(),B243+ROW()/100000,""))</f>
        <v/>
      </c>
      <c r="B243" s="0" t="str">
        <f aca="false">IF(AND(Scadenze!E246&lt;&gt;"",Scadenze!H246&lt;&gt;"☑"),Scadenze!E246,"")</f>
        <v/>
      </c>
      <c r="C243" s="0" t="str">
        <f aca="false">IF(B243="","",Scadenze!A246)</f>
        <v/>
      </c>
      <c r="D243" s="0" t="str">
        <f aca="false">IF(B243="","",Scadenze!B246)</f>
        <v/>
      </c>
      <c r="E243" s="0" t="str">
        <f aca="false">IF(B243="","","Scadenza")</f>
        <v/>
      </c>
      <c r="F243" s="0" t="str">
        <f aca="true">IF(B243="","",IF(B243&lt;TODAY(),B243+ROW()/100000,""))</f>
        <v/>
      </c>
    </row>
    <row r="244" customFormat="false" ht="15" hidden="false" customHeight="false" outlineLevel="0" collapsed="false">
      <c r="A244" s="0" t="str">
        <f aca="true">IF(B244="","",IF(B244&gt;=TODAY(),B244+ROW()/100000,""))</f>
        <v/>
      </c>
      <c r="B244" s="0" t="str">
        <f aca="false">IF(AND(Scadenze!E247&lt;&gt;"",Scadenze!H247&lt;&gt;"☑"),Scadenze!E247,"")</f>
        <v/>
      </c>
      <c r="C244" s="0" t="str">
        <f aca="false">IF(B244="","",Scadenze!A247)</f>
        <v/>
      </c>
      <c r="D244" s="0" t="str">
        <f aca="false">IF(B244="","",Scadenze!B247)</f>
        <v/>
      </c>
      <c r="E244" s="0" t="str">
        <f aca="false">IF(B244="","","Scadenza")</f>
        <v/>
      </c>
      <c r="F244" s="0" t="str">
        <f aca="true">IF(B244="","",IF(B244&lt;TODAY(),B244+ROW()/100000,""))</f>
        <v/>
      </c>
    </row>
    <row r="245" customFormat="false" ht="15" hidden="false" customHeight="false" outlineLevel="0" collapsed="false">
      <c r="A245" s="0" t="str">
        <f aca="true">IF(B245="","",IF(B245&gt;=TODAY(),B245+ROW()/100000,""))</f>
        <v/>
      </c>
      <c r="B245" s="0" t="str">
        <f aca="false">IF(AND(Scadenze!E248&lt;&gt;"",Scadenze!H248&lt;&gt;"☑"),Scadenze!E248,"")</f>
        <v/>
      </c>
      <c r="C245" s="0" t="str">
        <f aca="false">IF(B245="","",Scadenze!A248)</f>
        <v/>
      </c>
      <c r="D245" s="0" t="str">
        <f aca="false">IF(B245="","",Scadenze!B248)</f>
        <v/>
      </c>
      <c r="E245" s="0" t="str">
        <f aca="false">IF(B245="","","Scadenza")</f>
        <v/>
      </c>
      <c r="F245" s="0" t="str">
        <f aca="true">IF(B245="","",IF(B245&lt;TODAY(),B245+ROW()/100000,""))</f>
        <v/>
      </c>
    </row>
    <row r="246" customFormat="false" ht="15" hidden="false" customHeight="false" outlineLevel="0" collapsed="false">
      <c r="A246" s="0" t="str">
        <f aca="true">IF(B246="","",IF(B246&gt;=TODAY(),B246+ROW()/100000,""))</f>
        <v/>
      </c>
      <c r="B246" s="0" t="str">
        <f aca="false">IF(AND(Scadenze!E249&lt;&gt;"",Scadenze!H249&lt;&gt;"☑"),Scadenze!E249,"")</f>
        <v/>
      </c>
      <c r="C246" s="0" t="str">
        <f aca="false">IF(B246="","",Scadenze!A249)</f>
        <v/>
      </c>
      <c r="D246" s="0" t="str">
        <f aca="false">IF(B246="","",Scadenze!B249)</f>
        <v/>
      </c>
      <c r="E246" s="0" t="str">
        <f aca="false">IF(B246="","","Scadenza")</f>
        <v/>
      </c>
      <c r="F246" s="0" t="str">
        <f aca="true">IF(B246="","",IF(B246&lt;TODAY(),B246+ROW()/100000,""))</f>
        <v/>
      </c>
    </row>
    <row r="247" customFormat="false" ht="15" hidden="false" customHeight="false" outlineLevel="0" collapsed="false">
      <c r="A247" s="0" t="str">
        <f aca="true">IF(B247="","",IF(B247&gt;=TODAY(),B247+ROW()/100000,""))</f>
        <v/>
      </c>
      <c r="B247" s="0" t="str">
        <f aca="false">IF(AND(Scadenze!E250&lt;&gt;"",Scadenze!H250&lt;&gt;"☑"),Scadenze!E250,"")</f>
        <v/>
      </c>
      <c r="C247" s="0" t="str">
        <f aca="false">IF(B247="","",Scadenze!A250)</f>
        <v/>
      </c>
      <c r="D247" s="0" t="str">
        <f aca="false">IF(B247="","",Scadenze!B250)</f>
        <v/>
      </c>
      <c r="E247" s="0" t="str">
        <f aca="false">IF(B247="","","Scadenza")</f>
        <v/>
      </c>
      <c r="F247" s="0" t="str">
        <f aca="true">IF(B247="","",IF(B247&lt;TODAY(),B247+ROW()/100000,""))</f>
        <v/>
      </c>
    </row>
    <row r="248" customFormat="false" ht="15" hidden="false" customHeight="false" outlineLevel="0" collapsed="false">
      <c r="A248" s="0" t="str">
        <f aca="true">IF(B248="","",IF(B248&gt;=TODAY(),B248+ROW()/100000,""))</f>
        <v/>
      </c>
      <c r="B248" s="0" t="str">
        <f aca="false">IF(AND(Scadenze!E251&lt;&gt;"",Scadenze!H251&lt;&gt;"☑"),Scadenze!E251,"")</f>
        <v/>
      </c>
      <c r="C248" s="0" t="str">
        <f aca="false">IF(B248="","",Scadenze!A251)</f>
        <v/>
      </c>
      <c r="D248" s="0" t="str">
        <f aca="false">IF(B248="","",Scadenze!B251)</f>
        <v/>
      </c>
      <c r="E248" s="0" t="str">
        <f aca="false">IF(B248="","","Scadenza")</f>
        <v/>
      </c>
      <c r="F248" s="0" t="str">
        <f aca="true">IF(B248="","",IF(B248&lt;TODAY(),B248+ROW()/100000,""))</f>
        <v/>
      </c>
    </row>
    <row r="249" customFormat="false" ht="15" hidden="false" customHeight="false" outlineLevel="0" collapsed="false">
      <c r="A249" s="0" t="str">
        <f aca="true">IF(B249="","",IF(B249&gt;=TODAY(),B249+ROW()/100000,""))</f>
        <v/>
      </c>
      <c r="B249" s="0" t="str">
        <f aca="false">IF(AND(Scadenze!E252&lt;&gt;"",Scadenze!H252&lt;&gt;"☑"),Scadenze!E252,"")</f>
        <v/>
      </c>
      <c r="C249" s="0" t="str">
        <f aca="false">IF(B249="","",Scadenze!A252)</f>
        <v/>
      </c>
      <c r="D249" s="0" t="str">
        <f aca="false">IF(B249="","",Scadenze!B252)</f>
        <v/>
      </c>
      <c r="E249" s="0" t="str">
        <f aca="false">IF(B249="","","Scadenza")</f>
        <v/>
      </c>
      <c r="F249" s="0" t="str">
        <f aca="true">IF(B249="","",IF(B249&lt;TODAY(),B249+ROW()/100000,""))</f>
        <v/>
      </c>
    </row>
    <row r="250" customFormat="false" ht="15" hidden="false" customHeight="false" outlineLevel="0" collapsed="false">
      <c r="A250" s="0" t="str">
        <f aca="true">IF(B250="","",IF(B250&gt;=TODAY(),B250+ROW()/100000,""))</f>
        <v/>
      </c>
      <c r="B250" s="0" t="str">
        <f aca="false">IF(AND(Scadenze!E253&lt;&gt;"",Scadenze!H253&lt;&gt;"☑"),Scadenze!E253,"")</f>
        <v/>
      </c>
      <c r="C250" s="0" t="str">
        <f aca="false">IF(B250="","",Scadenze!A253)</f>
        <v/>
      </c>
      <c r="D250" s="0" t="str">
        <f aca="false">IF(B250="","",Scadenze!B253)</f>
        <v/>
      </c>
      <c r="E250" s="0" t="str">
        <f aca="false">IF(B250="","","Scadenza")</f>
        <v/>
      </c>
      <c r="F250" s="0" t="str">
        <f aca="true">IF(B250="","",IF(B250&lt;TODAY(),B250+ROW()/100000,""))</f>
        <v/>
      </c>
    </row>
    <row r="251" customFormat="false" ht="15" hidden="false" customHeight="false" outlineLevel="0" collapsed="false">
      <c r="A251" s="0" t="str">
        <f aca="true">IF(B251="","",IF(B251&gt;=TODAY(),B251+ROW()/100000,""))</f>
        <v/>
      </c>
      <c r="B251" s="0" t="str">
        <f aca="false">IF(AND(Scadenze!E254&lt;&gt;"",Scadenze!H254&lt;&gt;"☑"),Scadenze!E254,"")</f>
        <v/>
      </c>
      <c r="C251" s="0" t="str">
        <f aca="false">IF(B251="","",Scadenze!A254)</f>
        <v/>
      </c>
      <c r="D251" s="0" t="str">
        <f aca="false">IF(B251="","",Scadenze!B254)</f>
        <v/>
      </c>
      <c r="E251" s="0" t="str">
        <f aca="false">IF(B251="","","Scadenza")</f>
        <v/>
      </c>
      <c r="F251" s="0" t="str">
        <f aca="true">IF(B251="","",IF(B251&lt;TODAY(),B251+ROW()/100000,""))</f>
        <v/>
      </c>
    </row>
    <row r="252" customFormat="false" ht="15" hidden="false" customHeight="false" outlineLevel="0" collapsed="false">
      <c r="A252" s="0" t="str">
        <f aca="true">IF(B252="","",IF(B252&gt;=TODAY(),B252+ROW()/100000,""))</f>
        <v/>
      </c>
      <c r="B252" s="0" t="str">
        <f aca="false">IF(AND(Scadenze!E255&lt;&gt;"",Scadenze!H255&lt;&gt;"☑"),Scadenze!E255,"")</f>
        <v/>
      </c>
      <c r="C252" s="0" t="str">
        <f aca="false">IF(B252="","",Scadenze!A255)</f>
        <v/>
      </c>
      <c r="D252" s="0" t="str">
        <f aca="false">IF(B252="","",Scadenze!B255)</f>
        <v/>
      </c>
      <c r="E252" s="0" t="str">
        <f aca="false">IF(B252="","","Scadenza")</f>
        <v/>
      </c>
      <c r="F252" s="0" t="str">
        <f aca="true">IF(B252="","",IF(B252&lt;TODAY(),B252+ROW()/100000,""))</f>
        <v/>
      </c>
    </row>
    <row r="253" customFormat="false" ht="15" hidden="false" customHeight="false" outlineLevel="0" collapsed="false">
      <c r="A253" s="0" t="str">
        <f aca="true">IF(B253="","",IF(B253&gt;=TODAY(),B253+ROW()/100000,""))</f>
        <v/>
      </c>
      <c r="B253" s="0" t="str">
        <f aca="false">IF(AND(Scadenze!E256&lt;&gt;"",Scadenze!H256&lt;&gt;"☑"),Scadenze!E256,"")</f>
        <v/>
      </c>
      <c r="C253" s="0" t="str">
        <f aca="false">IF(B253="","",Scadenze!A256)</f>
        <v/>
      </c>
      <c r="D253" s="0" t="str">
        <f aca="false">IF(B253="","",Scadenze!B256)</f>
        <v/>
      </c>
      <c r="E253" s="0" t="str">
        <f aca="false">IF(B253="","","Scadenza")</f>
        <v/>
      </c>
      <c r="F253" s="0" t="str">
        <f aca="true">IF(B253="","",IF(B253&lt;TODAY(),B253+ROW()/100000,""))</f>
        <v/>
      </c>
    </row>
    <row r="254" customFormat="false" ht="15" hidden="false" customHeight="false" outlineLevel="0" collapsed="false">
      <c r="A254" s="0" t="str">
        <f aca="true">IF(B254="","",IF(B254&gt;=TODAY(),B254+ROW()/100000,""))</f>
        <v/>
      </c>
      <c r="B254" s="0" t="str">
        <f aca="false">IF(AND(Scadenze!E257&lt;&gt;"",Scadenze!H257&lt;&gt;"☑"),Scadenze!E257,"")</f>
        <v/>
      </c>
      <c r="C254" s="0" t="str">
        <f aca="false">IF(B254="","",Scadenze!A257)</f>
        <v/>
      </c>
      <c r="D254" s="0" t="str">
        <f aca="false">IF(B254="","",Scadenze!B257)</f>
        <v/>
      </c>
      <c r="E254" s="0" t="str">
        <f aca="false">IF(B254="","","Scadenza")</f>
        <v/>
      </c>
      <c r="F254" s="0" t="str">
        <f aca="true">IF(B254="","",IF(B254&lt;TODAY(),B254+ROW()/100000,""))</f>
        <v/>
      </c>
    </row>
    <row r="255" customFormat="false" ht="15" hidden="false" customHeight="false" outlineLevel="0" collapsed="false">
      <c r="A255" s="0" t="str">
        <f aca="true">IF(B255="","",IF(B255&gt;=TODAY(),B255+ROW()/100000,""))</f>
        <v/>
      </c>
      <c r="B255" s="0" t="str">
        <f aca="false">IF(AND(Scadenze!E258&lt;&gt;"",Scadenze!H258&lt;&gt;"☑"),Scadenze!E258,"")</f>
        <v/>
      </c>
      <c r="C255" s="0" t="str">
        <f aca="false">IF(B255="","",Scadenze!A258)</f>
        <v/>
      </c>
      <c r="D255" s="0" t="str">
        <f aca="false">IF(B255="","",Scadenze!B258)</f>
        <v/>
      </c>
      <c r="E255" s="0" t="str">
        <f aca="false">IF(B255="","","Scadenza")</f>
        <v/>
      </c>
      <c r="F255" s="0" t="str">
        <f aca="true">IF(B255="","",IF(B255&lt;TODAY(),B255+ROW()/100000,""))</f>
        <v/>
      </c>
    </row>
    <row r="256" customFormat="false" ht="15" hidden="false" customHeight="false" outlineLevel="0" collapsed="false">
      <c r="A256" s="0" t="str">
        <f aca="true">IF(B256="","",IF(B256&gt;=TODAY(),B256+ROW()/100000,""))</f>
        <v/>
      </c>
      <c r="B256" s="0" t="str">
        <f aca="false">IF(AND(Scadenze!E259&lt;&gt;"",Scadenze!H259&lt;&gt;"☑"),Scadenze!E259,"")</f>
        <v/>
      </c>
      <c r="C256" s="0" t="str">
        <f aca="false">IF(B256="","",Scadenze!A259)</f>
        <v/>
      </c>
      <c r="D256" s="0" t="str">
        <f aca="false">IF(B256="","",Scadenze!B259)</f>
        <v/>
      </c>
      <c r="E256" s="0" t="str">
        <f aca="false">IF(B256="","","Scadenza")</f>
        <v/>
      </c>
      <c r="F256" s="0" t="str">
        <f aca="true">IF(B256="","",IF(B256&lt;TODAY(),B256+ROW()/100000,""))</f>
        <v/>
      </c>
    </row>
    <row r="257" customFormat="false" ht="15" hidden="false" customHeight="false" outlineLevel="0" collapsed="false">
      <c r="A257" s="0" t="str">
        <f aca="true">IF(B257="","",IF(B257&gt;=TODAY(),B257+ROW()/100000,""))</f>
        <v/>
      </c>
      <c r="B257" s="0" t="str">
        <f aca="false">IF(AND(Scadenze!E260&lt;&gt;"",Scadenze!H260&lt;&gt;"☑"),Scadenze!E260,"")</f>
        <v/>
      </c>
      <c r="C257" s="0" t="str">
        <f aca="false">IF(B257="","",Scadenze!A260)</f>
        <v/>
      </c>
      <c r="D257" s="0" t="str">
        <f aca="false">IF(B257="","",Scadenze!B260)</f>
        <v/>
      </c>
      <c r="E257" s="0" t="str">
        <f aca="false">IF(B257="","","Scadenza")</f>
        <v/>
      </c>
      <c r="F257" s="0" t="str">
        <f aca="true">IF(B257="","",IF(B257&lt;TODAY(),B257+ROW()/100000,""))</f>
        <v/>
      </c>
    </row>
    <row r="258" customFormat="false" ht="15" hidden="false" customHeight="false" outlineLevel="0" collapsed="false">
      <c r="A258" s="0" t="str">
        <f aca="true">IF(B258="","",IF(B258&gt;=TODAY(),B258+ROW()/100000,""))</f>
        <v/>
      </c>
      <c r="B258" s="0" t="str">
        <f aca="false">IF(AND(Scadenze!E261&lt;&gt;"",Scadenze!H261&lt;&gt;"☑"),Scadenze!E261,"")</f>
        <v/>
      </c>
      <c r="C258" s="0" t="str">
        <f aca="false">IF(B258="","",Scadenze!A261)</f>
        <v/>
      </c>
      <c r="D258" s="0" t="str">
        <f aca="false">IF(B258="","",Scadenze!B261)</f>
        <v/>
      </c>
      <c r="E258" s="0" t="str">
        <f aca="false">IF(B258="","","Scadenza")</f>
        <v/>
      </c>
      <c r="F258" s="0" t="str">
        <f aca="true">IF(B258="","",IF(B258&lt;TODAY(),B258+ROW()/100000,""))</f>
        <v/>
      </c>
    </row>
    <row r="259" customFormat="false" ht="15" hidden="false" customHeight="false" outlineLevel="0" collapsed="false">
      <c r="A259" s="0" t="str">
        <f aca="true">IF(B259="","",IF(B259&gt;=TODAY(),B259+ROW()/100000,""))</f>
        <v/>
      </c>
      <c r="B259" s="0" t="str">
        <f aca="false">IF(AND(Scadenze!E262&lt;&gt;"",Scadenze!H262&lt;&gt;"☑"),Scadenze!E262,"")</f>
        <v/>
      </c>
      <c r="C259" s="0" t="str">
        <f aca="false">IF(B259="","",Scadenze!A262)</f>
        <v/>
      </c>
      <c r="D259" s="0" t="str">
        <f aca="false">IF(B259="","",Scadenze!B262)</f>
        <v/>
      </c>
      <c r="E259" s="0" t="str">
        <f aca="false">IF(B259="","","Scadenza")</f>
        <v/>
      </c>
      <c r="F259" s="0" t="str">
        <f aca="true">IF(B259="","",IF(B259&lt;TODAY(),B259+ROW()/100000,""))</f>
        <v/>
      </c>
    </row>
    <row r="260" customFormat="false" ht="15" hidden="false" customHeight="false" outlineLevel="0" collapsed="false">
      <c r="A260" s="0" t="str">
        <f aca="true">IF(B260="","",IF(B260&gt;=TODAY(),B260+ROW()/100000,""))</f>
        <v/>
      </c>
      <c r="B260" s="0" t="str">
        <f aca="false">IF(AND(Scadenze!E263&lt;&gt;"",Scadenze!H263&lt;&gt;"☑"),Scadenze!E263,"")</f>
        <v/>
      </c>
      <c r="C260" s="0" t="str">
        <f aca="false">IF(B260="","",Scadenze!A263)</f>
        <v/>
      </c>
      <c r="D260" s="0" t="str">
        <f aca="false">IF(B260="","",Scadenze!B263)</f>
        <v/>
      </c>
      <c r="E260" s="0" t="str">
        <f aca="false">IF(B260="","","Scadenza")</f>
        <v/>
      </c>
      <c r="F260" s="0" t="str">
        <f aca="true">IF(B260="","",IF(B260&lt;TODAY(),B260+ROW()/100000,""))</f>
        <v/>
      </c>
    </row>
    <row r="261" customFormat="false" ht="15" hidden="false" customHeight="false" outlineLevel="0" collapsed="false">
      <c r="A261" s="0" t="str">
        <f aca="true">IF(B261="","",IF(B261&gt;=TODAY(),B261+ROW()/100000,""))</f>
        <v/>
      </c>
      <c r="B261" s="0" t="str">
        <f aca="false">IF(AND(Scadenze!E264&lt;&gt;"",Scadenze!H264&lt;&gt;"☑"),Scadenze!E264,"")</f>
        <v/>
      </c>
      <c r="C261" s="0" t="str">
        <f aca="false">IF(B261="","",Scadenze!A264)</f>
        <v/>
      </c>
      <c r="D261" s="0" t="str">
        <f aca="false">IF(B261="","",Scadenze!B264)</f>
        <v/>
      </c>
      <c r="E261" s="0" t="str">
        <f aca="false">IF(B261="","","Scadenza")</f>
        <v/>
      </c>
      <c r="F261" s="0" t="str">
        <f aca="true">IF(B261="","",IF(B261&lt;TODAY(),B261+ROW()/100000,""))</f>
        <v/>
      </c>
    </row>
    <row r="262" customFormat="false" ht="15" hidden="false" customHeight="false" outlineLevel="0" collapsed="false">
      <c r="A262" s="0" t="str">
        <f aca="true">IF(B262="","",IF(B262&gt;=TODAY(),B262+ROW()/100000,""))</f>
        <v/>
      </c>
      <c r="B262" s="0" t="str">
        <f aca="false">IF(AND(Scadenze!E265&lt;&gt;"",Scadenze!H265&lt;&gt;"☑"),Scadenze!E265,"")</f>
        <v/>
      </c>
      <c r="C262" s="0" t="str">
        <f aca="false">IF(B262="","",Scadenze!A265)</f>
        <v/>
      </c>
      <c r="D262" s="0" t="str">
        <f aca="false">IF(B262="","",Scadenze!B265)</f>
        <v/>
      </c>
      <c r="E262" s="0" t="str">
        <f aca="false">IF(B262="","","Scadenza")</f>
        <v/>
      </c>
      <c r="F262" s="0" t="str">
        <f aca="true">IF(B262="","",IF(B262&lt;TODAY(),B262+ROW()/100000,""))</f>
        <v/>
      </c>
    </row>
    <row r="263" customFormat="false" ht="15" hidden="false" customHeight="false" outlineLevel="0" collapsed="false">
      <c r="A263" s="0" t="str">
        <f aca="true">IF(B263="","",IF(B263&gt;=TODAY(),B263+ROW()/100000,""))</f>
        <v/>
      </c>
      <c r="B263" s="0" t="str">
        <f aca="false">IF(AND(Scadenze!E266&lt;&gt;"",Scadenze!H266&lt;&gt;"☑"),Scadenze!E266,"")</f>
        <v/>
      </c>
      <c r="C263" s="0" t="str">
        <f aca="false">IF(B263="","",Scadenze!A266)</f>
        <v/>
      </c>
      <c r="D263" s="0" t="str">
        <f aca="false">IF(B263="","",Scadenze!B266)</f>
        <v/>
      </c>
      <c r="E263" s="0" t="str">
        <f aca="false">IF(B263="","","Scadenza")</f>
        <v/>
      </c>
      <c r="F263" s="0" t="str">
        <f aca="true">IF(B263="","",IF(B263&lt;TODAY(),B263+ROW()/100000,""))</f>
        <v/>
      </c>
    </row>
    <row r="264" customFormat="false" ht="15" hidden="false" customHeight="false" outlineLevel="0" collapsed="false">
      <c r="A264" s="0" t="str">
        <f aca="true">IF(B264="","",IF(B264&gt;=TODAY(),B264+ROW()/100000,""))</f>
        <v/>
      </c>
      <c r="B264" s="0" t="str">
        <f aca="false">IF(AND(Scadenze!E267&lt;&gt;"",Scadenze!H267&lt;&gt;"☑"),Scadenze!E267,"")</f>
        <v/>
      </c>
      <c r="C264" s="0" t="str">
        <f aca="false">IF(B264="","",Scadenze!A267)</f>
        <v/>
      </c>
      <c r="D264" s="0" t="str">
        <f aca="false">IF(B264="","",Scadenze!B267)</f>
        <v/>
      </c>
      <c r="E264" s="0" t="str">
        <f aca="false">IF(B264="","","Scadenza")</f>
        <v/>
      </c>
      <c r="F264" s="0" t="str">
        <f aca="true">IF(B264="","",IF(B264&lt;TODAY(),B264+ROW()/100000,""))</f>
        <v/>
      </c>
    </row>
    <row r="265" customFormat="false" ht="15" hidden="false" customHeight="false" outlineLevel="0" collapsed="false">
      <c r="A265" s="0" t="str">
        <f aca="true">IF(B265="","",IF(B265&gt;=TODAY(),B265+ROW()/100000,""))</f>
        <v/>
      </c>
      <c r="B265" s="0" t="str">
        <f aca="false">IF(AND(Scadenze!E268&lt;&gt;"",Scadenze!H268&lt;&gt;"☑"),Scadenze!E268,"")</f>
        <v/>
      </c>
      <c r="C265" s="0" t="str">
        <f aca="false">IF(B265="","",Scadenze!A268)</f>
        <v/>
      </c>
      <c r="D265" s="0" t="str">
        <f aca="false">IF(B265="","",Scadenze!B268)</f>
        <v/>
      </c>
      <c r="E265" s="0" t="str">
        <f aca="false">IF(B265="","","Scadenza")</f>
        <v/>
      </c>
      <c r="F265" s="0" t="str">
        <f aca="true">IF(B265="","",IF(B265&lt;TODAY(),B265+ROW()/100000,""))</f>
        <v/>
      </c>
    </row>
    <row r="266" customFormat="false" ht="15" hidden="false" customHeight="false" outlineLevel="0" collapsed="false">
      <c r="A266" s="0" t="str">
        <f aca="true">IF(B266="","",IF(B266&gt;=TODAY(),B266+ROW()/100000,""))</f>
        <v/>
      </c>
      <c r="B266" s="0" t="str">
        <f aca="false">IF(AND(Scadenze!E269&lt;&gt;"",Scadenze!H269&lt;&gt;"☑"),Scadenze!E269,"")</f>
        <v/>
      </c>
      <c r="C266" s="0" t="str">
        <f aca="false">IF(B266="","",Scadenze!A269)</f>
        <v/>
      </c>
      <c r="D266" s="0" t="str">
        <f aca="false">IF(B266="","",Scadenze!B269)</f>
        <v/>
      </c>
      <c r="E266" s="0" t="str">
        <f aca="false">IF(B266="","","Scadenza")</f>
        <v/>
      </c>
      <c r="F266" s="0" t="str">
        <f aca="true">IF(B266="","",IF(B266&lt;TODAY(),B266+ROW()/100000,""))</f>
        <v/>
      </c>
    </row>
    <row r="267" customFormat="false" ht="15" hidden="false" customHeight="false" outlineLevel="0" collapsed="false">
      <c r="A267" s="0" t="str">
        <f aca="true">IF(B267="","",IF(B267&gt;=TODAY(),B267+ROW()/100000,""))</f>
        <v/>
      </c>
      <c r="B267" s="0" t="str">
        <f aca="false">IF(AND(Scadenze!E270&lt;&gt;"",Scadenze!H270&lt;&gt;"☑"),Scadenze!E270,"")</f>
        <v/>
      </c>
      <c r="C267" s="0" t="str">
        <f aca="false">IF(B267="","",Scadenze!A270)</f>
        <v/>
      </c>
      <c r="D267" s="0" t="str">
        <f aca="false">IF(B267="","",Scadenze!B270)</f>
        <v/>
      </c>
      <c r="E267" s="0" t="str">
        <f aca="false">IF(B267="","","Scadenza")</f>
        <v/>
      </c>
      <c r="F267" s="0" t="str">
        <f aca="true">IF(B267="","",IF(B267&lt;TODAY(),B267+ROW()/100000,""))</f>
        <v/>
      </c>
    </row>
    <row r="268" customFormat="false" ht="15" hidden="false" customHeight="false" outlineLevel="0" collapsed="false">
      <c r="A268" s="0" t="str">
        <f aca="true">IF(B268="","",IF(B268&gt;=TODAY(),B268+ROW()/100000,""))</f>
        <v/>
      </c>
      <c r="B268" s="0" t="str">
        <f aca="false">IF(AND(Scadenze!E271&lt;&gt;"",Scadenze!H271&lt;&gt;"☑"),Scadenze!E271,"")</f>
        <v/>
      </c>
      <c r="C268" s="0" t="str">
        <f aca="false">IF(B268="","",Scadenze!A271)</f>
        <v/>
      </c>
      <c r="D268" s="0" t="str">
        <f aca="false">IF(B268="","",Scadenze!B271)</f>
        <v/>
      </c>
      <c r="E268" s="0" t="str">
        <f aca="false">IF(B268="","","Scadenza")</f>
        <v/>
      </c>
      <c r="F268" s="0" t="str">
        <f aca="true">IF(B268="","",IF(B268&lt;TODAY(),B268+ROW()/100000,""))</f>
        <v/>
      </c>
    </row>
    <row r="269" customFormat="false" ht="15" hidden="false" customHeight="false" outlineLevel="0" collapsed="false">
      <c r="A269" s="0" t="str">
        <f aca="true">IF(B269="","",IF(B269&gt;=TODAY(),B269+ROW()/100000,""))</f>
        <v/>
      </c>
      <c r="B269" s="0" t="str">
        <f aca="false">IF(AND(Scadenze!E272&lt;&gt;"",Scadenze!H272&lt;&gt;"☑"),Scadenze!E272,"")</f>
        <v/>
      </c>
      <c r="C269" s="0" t="str">
        <f aca="false">IF(B269="","",Scadenze!A272)</f>
        <v/>
      </c>
      <c r="D269" s="0" t="str">
        <f aca="false">IF(B269="","",Scadenze!B272)</f>
        <v/>
      </c>
      <c r="E269" s="0" t="str">
        <f aca="false">IF(B269="","","Scadenza")</f>
        <v/>
      </c>
      <c r="F269" s="0" t="str">
        <f aca="true">IF(B269="","",IF(B269&lt;TODAY(),B269+ROW()/100000,""))</f>
        <v/>
      </c>
    </row>
    <row r="270" customFormat="false" ht="15" hidden="false" customHeight="false" outlineLevel="0" collapsed="false">
      <c r="A270" s="0" t="str">
        <f aca="true">IF(B270="","",IF(B270&gt;=TODAY(),B270+ROW()/100000,""))</f>
        <v/>
      </c>
      <c r="B270" s="0" t="str">
        <f aca="false">IF(AND(Scadenze!E273&lt;&gt;"",Scadenze!H273&lt;&gt;"☑"),Scadenze!E273,"")</f>
        <v/>
      </c>
      <c r="C270" s="0" t="str">
        <f aca="false">IF(B270="","",Scadenze!A273)</f>
        <v/>
      </c>
      <c r="D270" s="0" t="str">
        <f aca="false">IF(B270="","",Scadenze!B273)</f>
        <v/>
      </c>
      <c r="E270" s="0" t="str">
        <f aca="false">IF(B270="","","Scadenza")</f>
        <v/>
      </c>
      <c r="F270" s="0" t="str">
        <f aca="true">IF(B270="","",IF(B270&lt;TODAY(),B270+ROW()/100000,""))</f>
        <v/>
      </c>
    </row>
    <row r="271" customFormat="false" ht="15" hidden="false" customHeight="false" outlineLevel="0" collapsed="false">
      <c r="A271" s="0" t="str">
        <f aca="true">IF(B271="","",IF(B271&gt;=TODAY(),B271+ROW()/100000,""))</f>
        <v/>
      </c>
      <c r="B271" s="0" t="str">
        <f aca="false">IF(AND(Scadenze!E274&lt;&gt;"",Scadenze!H274&lt;&gt;"☑"),Scadenze!E274,"")</f>
        <v/>
      </c>
      <c r="C271" s="0" t="str">
        <f aca="false">IF(B271="","",Scadenze!A274)</f>
        <v/>
      </c>
      <c r="D271" s="0" t="str">
        <f aca="false">IF(B271="","",Scadenze!B274)</f>
        <v/>
      </c>
      <c r="E271" s="0" t="str">
        <f aca="false">IF(B271="","","Scadenza")</f>
        <v/>
      </c>
      <c r="F271" s="0" t="str">
        <f aca="true">IF(B271="","",IF(B271&lt;TODAY(),B271+ROW()/100000,""))</f>
        <v/>
      </c>
    </row>
    <row r="272" customFormat="false" ht="15" hidden="false" customHeight="false" outlineLevel="0" collapsed="false">
      <c r="A272" s="0" t="str">
        <f aca="true">IF(B272="","",IF(B272&gt;=TODAY(),B272+ROW()/100000,""))</f>
        <v/>
      </c>
      <c r="B272" s="0" t="str">
        <f aca="false">IF(AND(Scadenze!E275&lt;&gt;"",Scadenze!H275&lt;&gt;"☑"),Scadenze!E275,"")</f>
        <v/>
      </c>
      <c r="C272" s="0" t="str">
        <f aca="false">IF(B272="","",Scadenze!A275)</f>
        <v/>
      </c>
      <c r="D272" s="0" t="str">
        <f aca="false">IF(B272="","",Scadenze!B275)</f>
        <v/>
      </c>
      <c r="E272" s="0" t="str">
        <f aca="false">IF(B272="","","Scadenza")</f>
        <v/>
      </c>
      <c r="F272" s="0" t="str">
        <f aca="true">IF(B272="","",IF(B272&lt;TODAY(),B272+ROW()/100000,""))</f>
        <v/>
      </c>
    </row>
    <row r="273" customFormat="false" ht="15" hidden="false" customHeight="false" outlineLevel="0" collapsed="false">
      <c r="A273" s="0" t="str">
        <f aca="true">IF(B273="","",IF(B273&gt;=TODAY(),B273+ROW()/100000,""))</f>
        <v/>
      </c>
      <c r="B273" s="0" t="str">
        <f aca="false">IF(AND(Scadenze!E276&lt;&gt;"",Scadenze!H276&lt;&gt;"☑"),Scadenze!E276,"")</f>
        <v/>
      </c>
      <c r="C273" s="0" t="str">
        <f aca="false">IF(B273="","",Scadenze!A276)</f>
        <v/>
      </c>
      <c r="D273" s="0" t="str">
        <f aca="false">IF(B273="","",Scadenze!B276)</f>
        <v/>
      </c>
      <c r="E273" s="0" t="str">
        <f aca="false">IF(B273="","","Scadenza")</f>
        <v/>
      </c>
      <c r="F273" s="0" t="str">
        <f aca="true">IF(B273="","",IF(B273&lt;TODAY(),B273+ROW()/100000,""))</f>
        <v/>
      </c>
    </row>
    <row r="274" customFormat="false" ht="15" hidden="false" customHeight="false" outlineLevel="0" collapsed="false">
      <c r="A274" s="0" t="str">
        <f aca="true">IF(B274="","",IF(B274&gt;=TODAY(),B274+ROW()/100000,""))</f>
        <v/>
      </c>
      <c r="B274" s="0" t="str">
        <f aca="false">IF(AND(Scadenze!E277&lt;&gt;"",Scadenze!H277&lt;&gt;"☑"),Scadenze!E277,"")</f>
        <v/>
      </c>
      <c r="C274" s="0" t="str">
        <f aca="false">IF(B274="","",Scadenze!A277)</f>
        <v/>
      </c>
      <c r="D274" s="0" t="str">
        <f aca="false">IF(B274="","",Scadenze!B277)</f>
        <v/>
      </c>
      <c r="E274" s="0" t="str">
        <f aca="false">IF(B274="","","Scadenza")</f>
        <v/>
      </c>
      <c r="F274" s="0" t="str">
        <f aca="true">IF(B274="","",IF(B274&lt;TODAY(),B274+ROW()/100000,""))</f>
        <v/>
      </c>
    </row>
    <row r="275" customFormat="false" ht="15" hidden="false" customHeight="false" outlineLevel="0" collapsed="false">
      <c r="A275" s="0" t="str">
        <f aca="true">IF(B275="","",IF(B275&gt;=TODAY(),B275+ROW()/100000,""))</f>
        <v/>
      </c>
      <c r="B275" s="0" t="str">
        <f aca="false">IF(AND(Scadenze!E278&lt;&gt;"",Scadenze!H278&lt;&gt;"☑"),Scadenze!E278,"")</f>
        <v/>
      </c>
      <c r="C275" s="0" t="str">
        <f aca="false">IF(B275="","",Scadenze!A278)</f>
        <v/>
      </c>
      <c r="D275" s="0" t="str">
        <f aca="false">IF(B275="","",Scadenze!B278)</f>
        <v/>
      </c>
      <c r="E275" s="0" t="str">
        <f aca="false">IF(B275="","","Scadenza")</f>
        <v/>
      </c>
      <c r="F275" s="0" t="str">
        <f aca="true">IF(B275="","",IF(B275&lt;TODAY(),B275+ROW()/100000,""))</f>
        <v/>
      </c>
    </row>
    <row r="276" customFormat="false" ht="15" hidden="false" customHeight="false" outlineLevel="0" collapsed="false">
      <c r="A276" s="0" t="str">
        <f aca="true">IF(B276="","",IF(B276&gt;=TODAY(),B276+ROW()/100000,""))</f>
        <v/>
      </c>
      <c r="B276" s="0" t="str">
        <f aca="false">IF(AND(Scadenze!E279&lt;&gt;"",Scadenze!H279&lt;&gt;"☑"),Scadenze!E279,"")</f>
        <v/>
      </c>
      <c r="C276" s="0" t="str">
        <f aca="false">IF(B276="","",Scadenze!A279)</f>
        <v/>
      </c>
      <c r="D276" s="0" t="str">
        <f aca="false">IF(B276="","",Scadenze!B279)</f>
        <v/>
      </c>
      <c r="E276" s="0" t="str">
        <f aca="false">IF(B276="","","Scadenza")</f>
        <v/>
      </c>
      <c r="F276" s="0" t="str">
        <f aca="true">IF(B276="","",IF(B276&lt;TODAY(),B276+ROW()/100000,""))</f>
        <v/>
      </c>
    </row>
    <row r="277" customFormat="false" ht="15" hidden="false" customHeight="false" outlineLevel="0" collapsed="false">
      <c r="A277" s="0" t="str">
        <f aca="true">IF(B277="","",IF(B277&gt;=TODAY(),B277+ROW()/100000,""))</f>
        <v/>
      </c>
      <c r="B277" s="0" t="str">
        <f aca="false">IF(AND(Scadenze!E280&lt;&gt;"",Scadenze!H280&lt;&gt;"☑"),Scadenze!E280,"")</f>
        <v/>
      </c>
      <c r="C277" s="0" t="str">
        <f aca="false">IF(B277="","",Scadenze!A280)</f>
        <v/>
      </c>
      <c r="D277" s="0" t="str">
        <f aca="false">IF(B277="","",Scadenze!B280)</f>
        <v/>
      </c>
      <c r="E277" s="0" t="str">
        <f aca="false">IF(B277="","","Scadenza")</f>
        <v/>
      </c>
      <c r="F277" s="0" t="str">
        <f aca="true">IF(B277="","",IF(B277&lt;TODAY(),B277+ROW()/100000,""))</f>
        <v/>
      </c>
    </row>
    <row r="278" customFormat="false" ht="15" hidden="false" customHeight="false" outlineLevel="0" collapsed="false">
      <c r="A278" s="0" t="str">
        <f aca="true">IF(B278="","",IF(B278&gt;=TODAY(),B278+ROW()/100000,""))</f>
        <v/>
      </c>
      <c r="B278" s="0" t="str">
        <f aca="false">IF(AND(Scadenze!E281&lt;&gt;"",Scadenze!H281&lt;&gt;"☑"),Scadenze!E281,"")</f>
        <v/>
      </c>
      <c r="C278" s="0" t="str">
        <f aca="false">IF(B278="","",Scadenze!A281)</f>
        <v/>
      </c>
      <c r="D278" s="0" t="str">
        <f aca="false">IF(B278="","",Scadenze!B281)</f>
        <v/>
      </c>
      <c r="E278" s="0" t="str">
        <f aca="false">IF(B278="","","Scadenza")</f>
        <v/>
      </c>
      <c r="F278" s="0" t="str">
        <f aca="true">IF(B278="","",IF(B278&lt;TODAY(),B278+ROW()/100000,""))</f>
        <v/>
      </c>
    </row>
    <row r="279" customFormat="false" ht="15" hidden="false" customHeight="false" outlineLevel="0" collapsed="false">
      <c r="A279" s="0" t="str">
        <f aca="true">IF(B279="","",IF(B279&gt;=TODAY(),B279+ROW()/100000,""))</f>
        <v/>
      </c>
      <c r="B279" s="0" t="str">
        <f aca="false">IF(AND(Scadenze!E282&lt;&gt;"",Scadenze!H282&lt;&gt;"☑"),Scadenze!E282,"")</f>
        <v/>
      </c>
      <c r="C279" s="0" t="str">
        <f aca="false">IF(B279="","",Scadenze!A282)</f>
        <v/>
      </c>
      <c r="D279" s="0" t="str">
        <f aca="false">IF(B279="","",Scadenze!B282)</f>
        <v/>
      </c>
      <c r="E279" s="0" t="str">
        <f aca="false">IF(B279="","","Scadenza")</f>
        <v/>
      </c>
      <c r="F279" s="0" t="str">
        <f aca="true">IF(B279="","",IF(B279&lt;TODAY(),B279+ROW()/100000,""))</f>
        <v/>
      </c>
    </row>
    <row r="280" customFormat="false" ht="15" hidden="false" customHeight="false" outlineLevel="0" collapsed="false">
      <c r="A280" s="0" t="str">
        <f aca="true">IF(B280="","",IF(B280&gt;=TODAY(),B280+ROW()/100000,""))</f>
        <v/>
      </c>
      <c r="B280" s="0" t="str">
        <f aca="false">IF(AND(Scadenze!E283&lt;&gt;"",Scadenze!H283&lt;&gt;"☑"),Scadenze!E283,"")</f>
        <v/>
      </c>
      <c r="C280" s="0" t="str">
        <f aca="false">IF(B280="","",Scadenze!A283)</f>
        <v/>
      </c>
      <c r="D280" s="0" t="str">
        <f aca="false">IF(B280="","",Scadenze!B283)</f>
        <v/>
      </c>
      <c r="E280" s="0" t="str">
        <f aca="false">IF(B280="","","Scadenza")</f>
        <v/>
      </c>
      <c r="F280" s="0" t="str">
        <f aca="true">IF(B280="","",IF(B280&lt;TODAY(),B280+ROW()/100000,""))</f>
        <v/>
      </c>
    </row>
    <row r="281" customFormat="false" ht="15" hidden="false" customHeight="false" outlineLevel="0" collapsed="false">
      <c r="A281" s="0" t="str">
        <f aca="true">IF(B281="","",IF(B281&gt;=TODAY(),B281+ROW()/100000,""))</f>
        <v/>
      </c>
      <c r="B281" s="0" t="str">
        <f aca="false">IF(AND(Scadenze!E284&lt;&gt;"",Scadenze!H284&lt;&gt;"☑"),Scadenze!E284,"")</f>
        <v/>
      </c>
      <c r="C281" s="0" t="str">
        <f aca="false">IF(B281="","",Scadenze!A284)</f>
        <v/>
      </c>
      <c r="D281" s="0" t="str">
        <f aca="false">IF(B281="","",Scadenze!B284)</f>
        <v/>
      </c>
      <c r="E281" s="0" t="str">
        <f aca="false">IF(B281="","","Scadenza")</f>
        <v/>
      </c>
      <c r="F281" s="0" t="str">
        <f aca="true">IF(B281="","",IF(B281&lt;TODAY(),B281+ROW()/100000,""))</f>
        <v/>
      </c>
    </row>
    <row r="282" customFormat="false" ht="15" hidden="false" customHeight="false" outlineLevel="0" collapsed="false">
      <c r="A282" s="0" t="str">
        <f aca="true">IF(B282="","",IF(B282&gt;=TODAY(),B282+ROW()/100000,""))</f>
        <v/>
      </c>
      <c r="B282" s="0" t="str">
        <f aca="false">IF(AND(Scadenze!E285&lt;&gt;"",Scadenze!H285&lt;&gt;"☑"),Scadenze!E285,"")</f>
        <v/>
      </c>
      <c r="C282" s="0" t="str">
        <f aca="false">IF(B282="","",Scadenze!A285)</f>
        <v/>
      </c>
      <c r="D282" s="0" t="str">
        <f aca="false">IF(B282="","",Scadenze!B285)</f>
        <v/>
      </c>
      <c r="E282" s="0" t="str">
        <f aca="false">IF(B282="","","Scadenza")</f>
        <v/>
      </c>
      <c r="F282" s="0" t="str">
        <f aca="true">IF(B282="","",IF(B282&lt;TODAY(),B282+ROW()/100000,""))</f>
        <v/>
      </c>
    </row>
    <row r="283" customFormat="false" ht="15" hidden="false" customHeight="false" outlineLevel="0" collapsed="false">
      <c r="A283" s="0" t="str">
        <f aca="true">IF(B283="","",IF(B283&gt;=TODAY(),B283+ROW()/100000,""))</f>
        <v/>
      </c>
      <c r="B283" s="0" t="str">
        <f aca="false">IF(AND(Scadenze!E286&lt;&gt;"",Scadenze!H286&lt;&gt;"☑"),Scadenze!E286,"")</f>
        <v/>
      </c>
      <c r="C283" s="0" t="str">
        <f aca="false">IF(B283="","",Scadenze!A286)</f>
        <v/>
      </c>
      <c r="D283" s="0" t="str">
        <f aca="false">IF(B283="","",Scadenze!B286)</f>
        <v/>
      </c>
      <c r="E283" s="0" t="str">
        <f aca="false">IF(B283="","","Scadenza")</f>
        <v/>
      </c>
      <c r="F283" s="0" t="str">
        <f aca="true">IF(B283="","",IF(B283&lt;TODAY(),B283+ROW()/100000,""))</f>
        <v/>
      </c>
    </row>
    <row r="284" customFormat="false" ht="15" hidden="false" customHeight="false" outlineLevel="0" collapsed="false">
      <c r="A284" s="0" t="str">
        <f aca="true">IF(B284="","",IF(B284&gt;=TODAY(),B284+ROW()/100000,""))</f>
        <v/>
      </c>
      <c r="B284" s="0" t="str">
        <f aca="false">IF(AND(Scadenze!E287&lt;&gt;"",Scadenze!H287&lt;&gt;"☑"),Scadenze!E287,"")</f>
        <v/>
      </c>
      <c r="C284" s="0" t="str">
        <f aca="false">IF(B284="","",Scadenze!A287)</f>
        <v/>
      </c>
      <c r="D284" s="0" t="str">
        <f aca="false">IF(B284="","",Scadenze!B287)</f>
        <v/>
      </c>
      <c r="E284" s="0" t="str">
        <f aca="false">IF(B284="","","Scadenza")</f>
        <v/>
      </c>
      <c r="F284" s="0" t="str">
        <f aca="true">IF(B284="","",IF(B284&lt;TODAY(),B284+ROW()/100000,""))</f>
        <v/>
      </c>
    </row>
    <row r="285" customFormat="false" ht="15" hidden="false" customHeight="false" outlineLevel="0" collapsed="false">
      <c r="A285" s="0" t="str">
        <f aca="true">IF(B285="","",IF(B285&gt;=TODAY(),B285+ROW()/100000,""))</f>
        <v/>
      </c>
      <c r="B285" s="0" t="str">
        <f aca="false">IF(AND(Scadenze!E288&lt;&gt;"",Scadenze!H288&lt;&gt;"☑"),Scadenze!E288,"")</f>
        <v/>
      </c>
      <c r="C285" s="0" t="str">
        <f aca="false">IF(B285="","",Scadenze!A288)</f>
        <v/>
      </c>
      <c r="D285" s="0" t="str">
        <f aca="false">IF(B285="","",Scadenze!B288)</f>
        <v/>
      </c>
      <c r="E285" s="0" t="str">
        <f aca="false">IF(B285="","","Scadenza")</f>
        <v/>
      </c>
      <c r="F285" s="0" t="str">
        <f aca="true">IF(B285="","",IF(B285&lt;TODAY(),B285+ROW()/100000,""))</f>
        <v/>
      </c>
    </row>
    <row r="286" customFormat="false" ht="15" hidden="false" customHeight="false" outlineLevel="0" collapsed="false">
      <c r="A286" s="0" t="str">
        <f aca="true">IF(B286="","",IF(B286&gt;=TODAY(),B286+ROW()/100000,""))</f>
        <v/>
      </c>
      <c r="B286" s="0" t="str">
        <f aca="false">IF(AND(Scadenze!E289&lt;&gt;"",Scadenze!H289&lt;&gt;"☑"),Scadenze!E289,"")</f>
        <v/>
      </c>
      <c r="C286" s="0" t="str">
        <f aca="false">IF(B286="","",Scadenze!A289)</f>
        <v/>
      </c>
      <c r="D286" s="0" t="str">
        <f aca="false">IF(B286="","",Scadenze!B289)</f>
        <v/>
      </c>
      <c r="E286" s="0" t="str">
        <f aca="false">IF(B286="","","Scadenza")</f>
        <v/>
      </c>
      <c r="F286" s="0" t="str">
        <f aca="true">IF(B286="","",IF(B286&lt;TODAY(),B286+ROW()/100000,""))</f>
        <v/>
      </c>
    </row>
    <row r="287" customFormat="false" ht="15" hidden="false" customHeight="false" outlineLevel="0" collapsed="false">
      <c r="A287" s="0" t="str">
        <f aca="true">IF(B287="","",IF(B287&gt;=TODAY(),B287+ROW()/100000,""))</f>
        <v/>
      </c>
      <c r="B287" s="0" t="str">
        <f aca="false">IF(AND(Scadenze!E290&lt;&gt;"",Scadenze!H290&lt;&gt;"☑"),Scadenze!E290,"")</f>
        <v/>
      </c>
      <c r="C287" s="0" t="str">
        <f aca="false">IF(B287="","",Scadenze!A290)</f>
        <v/>
      </c>
      <c r="D287" s="0" t="str">
        <f aca="false">IF(B287="","",Scadenze!B290)</f>
        <v/>
      </c>
      <c r="E287" s="0" t="str">
        <f aca="false">IF(B287="","","Scadenza")</f>
        <v/>
      </c>
      <c r="F287" s="0" t="str">
        <f aca="true">IF(B287="","",IF(B287&lt;TODAY(),B287+ROW()/100000,""))</f>
        <v/>
      </c>
    </row>
    <row r="288" customFormat="false" ht="15" hidden="false" customHeight="false" outlineLevel="0" collapsed="false">
      <c r="A288" s="0" t="str">
        <f aca="true">IF(B288="","",IF(B288&gt;=TODAY(),B288+ROW()/100000,""))</f>
        <v/>
      </c>
      <c r="B288" s="0" t="str">
        <f aca="false">IF(AND(Scadenze!E291&lt;&gt;"",Scadenze!H291&lt;&gt;"☑"),Scadenze!E291,"")</f>
        <v/>
      </c>
      <c r="C288" s="0" t="str">
        <f aca="false">IF(B288="","",Scadenze!A291)</f>
        <v/>
      </c>
      <c r="D288" s="0" t="str">
        <f aca="false">IF(B288="","",Scadenze!B291)</f>
        <v/>
      </c>
      <c r="E288" s="0" t="str">
        <f aca="false">IF(B288="","","Scadenza")</f>
        <v/>
      </c>
      <c r="F288" s="0" t="str">
        <f aca="true">IF(B288="","",IF(B288&lt;TODAY(),B288+ROW()/100000,""))</f>
        <v/>
      </c>
    </row>
    <row r="289" customFormat="false" ht="15" hidden="false" customHeight="false" outlineLevel="0" collapsed="false">
      <c r="A289" s="0" t="str">
        <f aca="true">IF(B289="","",IF(B289&gt;=TODAY(),B289+ROW()/100000,""))</f>
        <v/>
      </c>
      <c r="B289" s="0" t="str">
        <f aca="false">IF(AND(Scadenze!E292&lt;&gt;"",Scadenze!H292&lt;&gt;"☑"),Scadenze!E292,"")</f>
        <v/>
      </c>
      <c r="C289" s="0" t="str">
        <f aca="false">IF(B289="","",Scadenze!A292)</f>
        <v/>
      </c>
      <c r="D289" s="0" t="str">
        <f aca="false">IF(B289="","",Scadenze!B292)</f>
        <v/>
      </c>
      <c r="E289" s="0" t="str">
        <f aca="false">IF(B289="","","Scadenza")</f>
        <v/>
      </c>
      <c r="F289" s="0" t="str">
        <f aca="true">IF(B289="","",IF(B289&lt;TODAY(),B289+ROW()/100000,""))</f>
        <v/>
      </c>
    </row>
    <row r="290" customFormat="false" ht="15" hidden="false" customHeight="false" outlineLevel="0" collapsed="false">
      <c r="A290" s="0" t="str">
        <f aca="true">IF(B290="","",IF(B290&gt;=TODAY(),B290+ROW()/100000,""))</f>
        <v/>
      </c>
      <c r="B290" s="0" t="str">
        <f aca="false">IF(AND(Scadenze!E293&lt;&gt;"",Scadenze!H293&lt;&gt;"☑"),Scadenze!E293,"")</f>
        <v/>
      </c>
      <c r="C290" s="0" t="str">
        <f aca="false">IF(B290="","",Scadenze!A293)</f>
        <v/>
      </c>
      <c r="D290" s="0" t="str">
        <f aca="false">IF(B290="","",Scadenze!B293)</f>
        <v/>
      </c>
      <c r="E290" s="0" t="str">
        <f aca="false">IF(B290="","","Scadenza")</f>
        <v/>
      </c>
      <c r="F290" s="0" t="str">
        <f aca="true">IF(B290="","",IF(B290&lt;TODAY(),B290+ROW()/100000,""))</f>
        <v/>
      </c>
    </row>
    <row r="291" customFormat="false" ht="15" hidden="false" customHeight="false" outlineLevel="0" collapsed="false">
      <c r="A291" s="0" t="str">
        <f aca="true">IF(B291="","",IF(B291&gt;=TODAY(),B291+ROW()/100000,""))</f>
        <v/>
      </c>
      <c r="B291" s="0" t="str">
        <f aca="false">IF(AND(Scadenze!E294&lt;&gt;"",Scadenze!H294&lt;&gt;"☑"),Scadenze!E294,"")</f>
        <v/>
      </c>
      <c r="C291" s="0" t="str">
        <f aca="false">IF(B291="","",Scadenze!A294)</f>
        <v/>
      </c>
      <c r="D291" s="0" t="str">
        <f aca="false">IF(B291="","",Scadenze!B294)</f>
        <v/>
      </c>
      <c r="E291" s="0" t="str">
        <f aca="false">IF(B291="","","Scadenza")</f>
        <v/>
      </c>
      <c r="F291" s="0" t="str">
        <f aca="true">IF(B291="","",IF(B291&lt;TODAY(),B291+ROW()/100000,""))</f>
        <v/>
      </c>
    </row>
    <row r="292" customFormat="false" ht="15" hidden="false" customHeight="false" outlineLevel="0" collapsed="false">
      <c r="A292" s="0" t="str">
        <f aca="true">IF(B292="","",IF(B292&gt;=TODAY(),B292+ROW()/100000,""))</f>
        <v/>
      </c>
      <c r="B292" s="0" t="str">
        <f aca="false">IF(AND(Scadenze!E295&lt;&gt;"",Scadenze!H295&lt;&gt;"☑"),Scadenze!E295,"")</f>
        <v/>
      </c>
      <c r="C292" s="0" t="str">
        <f aca="false">IF(B292="","",Scadenze!A295)</f>
        <v/>
      </c>
      <c r="D292" s="0" t="str">
        <f aca="false">IF(B292="","",Scadenze!B295)</f>
        <v/>
      </c>
      <c r="E292" s="0" t="str">
        <f aca="false">IF(B292="","","Scadenza")</f>
        <v/>
      </c>
      <c r="F292" s="0" t="str">
        <f aca="true">IF(B292="","",IF(B292&lt;TODAY(),B292+ROW()/100000,""))</f>
        <v/>
      </c>
    </row>
    <row r="293" customFormat="false" ht="15" hidden="false" customHeight="false" outlineLevel="0" collapsed="false">
      <c r="A293" s="0" t="str">
        <f aca="true">IF(B293="","",IF(B293&gt;=TODAY(),B293+ROW()/100000,""))</f>
        <v/>
      </c>
      <c r="B293" s="0" t="str">
        <f aca="false">IF(AND(Scadenze!E296&lt;&gt;"",Scadenze!H296&lt;&gt;"☑"),Scadenze!E296,"")</f>
        <v/>
      </c>
      <c r="C293" s="0" t="str">
        <f aca="false">IF(B293="","",Scadenze!A296)</f>
        <v/>
      </c>
      <c r="D293" s="0" t="str">
        <f aca="false">IF(B293="","",Scadenze!B296)</f>
        <v/>
      </c>
      <c r="E293" s="0" t="str">
        <f aca="false">IF(B293="","","Scadenza")</f>
        <v/>
      </c>
      <c r="F293" s="0" t="str">
        <f aca="true">IF(B293="","",IF(B293&lt;TODAY(),B293+ROW()/100000,""))</f>
        <v/>
      </c>
    </row>
    <row r="294" customFormat="false" ht="15" hidden="false" customHeight="false" outlineLevel="0" collapsed="false">
      <c r="A294" s="0" t="str">
        <f aca="true">IF(B294="","",IF(B294&gt;=TODAY(),B294+ROW()/100000,""))</f>
        <v/>
      </c>
      <c r="B294" s="0" t="str">
        <f aca="false">IF(AND(Scadenze!E297&lt;&gt;"",Scadenze!H297&lt;&gt;"☑"),Scadenze!E297,"")</f>
        <v/>
      </c>
      <c r="C294" s="0" t="str">
        <f aca="false">IF(B294="","",Scadenze!A297)</f>
        <v/>
      </c>
      <c r="D294" s="0" t="str">
        <f aca="false">IF(B294="","",Scadenze!B297)</f>
        <v/>
      </c>
      <c r="E294" s="0" t="str">
        <f aca="false">IF(B294="","","Scadenza")</f>
        <v/>
      </c>
      <c r="F294" s="0" t="str">
        <f aca="true">IF(B294="","",IF(B294&lt;TODAY(),B294+ROW()/100000,""))</f>
        <v/>
      </c>
    </row>
    <row r="295" customFormat="false" ht="15" hidden="false" customHeight="false" outlineLevel="0" collapsed="false">
      <c r="A295" s="0" t="str">
        <f aca="true">IF(B295="","",IF(B295&gt;=TODAY(),B295+ROW()/100000,""))</f>
        <v/>
      </c>
      <c r="B295" s="0" t="str">
        <f aca="false">IF(AND(Scadenze!E298&lt;&gt;"",Scadenze!H298&lt;&gt;"☑"),Scadenze!E298,"")</f>
        <v/>
      </c>
      <c r="C295" s="0" t="str">
        <f aca="false">IF(B295="","",Scadenze!A298)</f>
        <v/>
      </c>
      <c r="D295" s="0" t="str">
        <f aca="false">IF(B295="","",Scadenze!B298)</f>
        <v/>
      </c>
      <c r="E295" s="0" t="str">
        <f aca="false">IF(B295="","","Scadenza")</f>
        <v/>
      </c>
      <c r="F295" s="0" t="str">
        <f aca="true">IF(B295="","",IF(B295&lt;TODAY(),B295+ROW()/100000,""))</f>
        <v/>
      </c>
    </row>
    <row r="296" customFormat="false" ht="15" hidden="false" customHeight="false" outlineLevel="0" collapsed="false">
      <c r="A296" s="0" t="str">
        <f aca="true">IF(B296="","",IF(B296&gt;=TODAY(),B296+ROW()/100000,""))</f>
        <v/>
      </c>
      <c r="B296" s="0" t="str">
        <f aca="false">IF(AND(Scadenze!E299&lt;&gt;"",Scadenze!H299&lt;&gt;"☑"),Scadenze!E299,"")</f>
        <v/>
      </c>
      <c r="C296" s="0" t="str">
        <f aca="false">IF(B296="","",Scadenze!A299)</f>
        <v/>
      </c>
      <c r="D296" s="0" t="str">
        <f aca="false">IF(B296="","",Scadenze!B299)</f>
        <v/>
      </c>
      <c r="E296" s="0" t="str">
        <f aca="false">IF(B296="","","Scadenza")</f>
        <v/>
      </c>
      <c r="F296" s="0" t="str">
        <f aca="true">IF(B296="","",IF(B296&lt;TODAY(),B296+ROW()/100000,""))</f>
        <v/>
      </c>
    </row>
    <row r="297" customFormat="false" ht="15" hidden="false" customHeight="false" outlineLevel="0" collapsed="false">
      <c r="A297" s="0" t="str">
        <f aca="true">IF(B297="","",IF(B297&gt;=TODAY(),B297+ROW()/100000,""))</f>
        <v/>
      </c>
      <c r="B297" s="0" t="str">
        <f aca="false">IF(AND(Scadenze!E300&lt;&gt;"",Scadenze!H300&lt;&gt;"☑"),Scadenze!E300,"")</f>
        <v/>
      </c>
      <c r="C297" s="0" t="str">
        <f aca="false">IF(B297="","",Scadenze!A300)</f>
        <v/>
      </c>
      <c r="D297" s="0" t="str">
        <f aca="false">IF(B297="","",Scadenze!B300)</f>
        <v/>
      </c>
      <c r="E297" s="0" t="str">
        <f aca="false">IF(B297="","","Scadenza")</f>
        <v/>
      </c>
      <c r="F297" s="0" t="str">
        <f aca="true">IF(B297="","",IF(B297&lt;TODAY(),B297+ROW()/100000,""))</f>
        <v/>
      </c>
    </row>
    <row r="298" customFormat="false" ht="15" hidden="false" customHeight="false" outlineLevel="0" collapsed="false">
      <c r="A298" s="0" t="str">
        <f aca="true">IF(B298="","",IF(B298&gt;=TODAY(),B298+ROW()/100000,""))</f>
        <v/>
      </c>
      <c r="B298" s="0" t="str">
        <f aca="false">IF(AND(Scadenze!E301&lt;&gt;"",Scadenze!H301&lt;&gt;"☑"),Scadenze!E301,"")</f>
        <v/>
      </c>
      <c r="C298" s="0" t="str">
        <f aca="false">IF(B298="","",Scadenze!A301)</f>
        <v/>
      </c>
      <c r="D298" s="0" t="str">
        <f aca="false">IF(B298="","",Scadenze!B301)</f>
        <v/>
      </c>
      <c r="E298" s="0" t="str">
        <f aca="false">IF(B298="","","Scadenza")</f>
        <v/>
      </c>
      <c r="F298" s="0" t="str">
        <f aca="true">IF(B298="","",IF(B298&lt;TODAY(),B298+ROW()/100000,""))</f>
        <v/>
      </c>
    </row>
    <row r="299" customFormat="false" ht="15" hidden="false" customHeight="false" outlineLevel="0" collapsed="false">
      <c r="A299" s="0" t="str">
        <f aca="true">IF(B299="","",IF(B299&gt;=TODAY(),B299+ROW()/100000,""))</f>
        <v/>
      </c>
      <c r="B299" s="0" t="str">
        <f aca="false">IF(AND(Scadenze!E302&lt;&gt;"",Scadenze!H302&lt;&gt;"☑"),Scadenze!E302,"")</f>
        <v/>
      </c>
      <c r="C299" s="0" t="str">
        <f aca="false">IF(B299="","",Scadenze!A302)</f>
        <v/>
      </c>
      <c r="D299" s="0" t="str">
        <f aca="false">IF(B299="","",Scadenze!B302)</f>
        <v/>
      </c>
      <c r="E299" s="0" t="str">
        <f aca="false">IF(B299="","","Scadenza")</f>
        <v/>
      </c>
      <c r="F299" s="0" t="str">
        <f aca="true">IF(B299="","",IF(B299&lt;TODAY(),B299+ROW()/100000,""))</f>
        <v/>
      </c>
    </row>
    <row r="300" customFormat="false" ht="15" hidden="false" customHeight="false" outlineLevel="0" collapsed="false">
      <c r="A300" s="0" t="str">
        <f aca="true">IF(B300="","",IF(B300&gt;=TODAY(),B300+ROW()/100000,""))</f>
        <v/>
      </c>
      <c r="B300" s="0" t="str">
        <f aca="false">IF(AND(Scadenze!E303&lt;&gt;"",Scadenze!H303&lt;&gt;"☑"),Scadenze!E303,"")</f>
        <v/>
      </c>
      <c r="C300" s="0" t="str">
        <f aca="false">IF(B300="","",Scadenze!A303)</f>
        <v/>
      </c>
      <c r="D300" s="0" t="str">
        <f aca="false">IF(B300="","",Scadenze!B303)</f>
        <v/>
      </c>
      <c r="E300" s="0" t="str">
        <f aca="false">IF(B300="","","Scadenza")</f>
        <v/>
      </c>
      <c r="F300" s="0" t="str">
        <f aca="true">IF(B300="","",IF(B300&lt;TODAY(),B300+ROW()/100000,""))</f>
        <v/>
      </c>
    </row>
    <row r="301" customFormat="false" ht="15" hidden="false" customHeight="false" outlineLevel="0" collapsed="false">
      <c r="A301" s="0" t="str">
        <f aca="true">IF(B301="","",IF(B301&gt;=TODAY(),B301+ROW()/100000,""))</f>
        <v/>
      </c>
      <c r="B301" s="0" t="str">
        <f aca="false">IF(AND(Scadenze!E304&lt;&gt;"",Scadenze!H304&lt;&gt;"☑"),Scadenze!E304,"")</f>
        <v/>
      </c>
      <c r="C301" s="0" t="str">
        <f aca="false">IF(B301="","",Scadenze!A304)</f>
        <v/>
      </c>
      <c r="D301" s="0" t="str">
        <f aca="false">IF(B301="","",Scadenze!B304)</f>
        <v/>
      </c>
      <c r="E301" s="0" t="str">
        <f aca="false">IF(B301="","","Scadenza")</f>
        <v/>
      </c>
      <c r="F301" s="0" t="str">
        <f aca="true">IF(B301="","",IF(B301&lt;TODAY(),B301+ROW()/100000,""))</f>
        <v/>
      </c>
    </row>
    <row r="302" customFormat="false" ht="15" hidden="false" customHeight="false" outlineLevel="0" collapsed="false">
      <c r="A302" s="48" t="n">
        <f aca="true">IF(B302="","",IF(B302&gt;=TODAY(),B302+ROW()/100000,""))</f>
        <v>46319.00302</v>
      </c>
      <c r="B302" s="49" t="n">
        <f aca="false">IF(AND(Visite!A5&lt;&gt;"",Visite!E5&lt;&gt;"Completata",Visite!E5&lt;&gt;"Annullata"),Visite!A5,"")</f>
        <v>46319</v>
      </c>
      <c r="C302" s="0" t="str">
        <f aca="false">IF(B302="","","Visita"&amp;IF(Visite!D5="",""," · "&amp;Visite!D5)&amp;IF(Visite!B5="","",IF(ISNUMBER(Visite!B5)," · ore "&amp;TEXT(Visite!B5,"hh:mm")," · "&amp;Visite!B5)))</f>
        <v>Visita · Dott.ssa Rossi · controllo · ore 10:30</v>
      </c>
      <c r="D302" s="0" t="str">
        <f aca="false">IF(B302="","",Visite!C5)</f>
        <v>Sofia</v>
      </c>
      <c r="E302" s="0" t="str">
        <f aca="false">IF(B302="","","Visita")</f>
        <v>Visita</v>
      </c>
      <c r="F302" s="0" t="str">
        <f aca="false">""</f>
        <v/>
      </c>
    </row>
    <row r="303" customFormat="false" ht="15" hidden="false" customHeight="false" outlineLevel="0" collapsed="false">
      <c r="A303" s="48" t="n">
        <f aca="true">IF(B303="","",IF(B303&gt;=TODAY(),B303+ROW()/100000,""))</f>
        <v>46325.00303</v>
      </c>
      <c r="B303" s="49" t="n">
        <f aca="false">IF(AND(Visite!A6&lt;&gt;"",Visite!E6&lt;&gt;"Completata",Visite!E6&lt;&gt;"Annullata"),Visite!A6,"")</f>
        <v>46325</v>
      </c>
      <c r="C303" s="0" t="str">
        <f aca="false">IF(B303="","","Visita"&amp;IF(Visite!D6="",""," · "&amp;Visite!D6)&amp;IF(Visite!B6="","",IF(ISNUMBER(Visite!B6)," · ore "&amp;TEXT(Visite!B6,"hh:mm")," · "&amp;Visite!B6)))</f>
        <v>Visita · Allergologia · Ospedale (esempio) · ore 15:00</v>
      </c>
      <c r="D303" s="0" t="str">
        <f aca="false">IF(B303="","",Visite!C6)</f>
        <v>Sofia</v>
      </c>
      <c r="E303" s="0" t="str">
        <f aca="false">IF(B303="","","Visita")</f>
        <v>Visita</v>
      </c>
      <c r="F303" s="0" t="str">
        <f aca="false">""</f>
        <v/>
      </c>
    </row>
    <row r="304" customFormat="false" ht="15" hidden="false" customHeight="false" outlineLevel="0" collapsed="false">
      <c r="A304" s="0" t="str">
        <f aca="true">IF(B304="","",IF(B304&gt;=TODAY(),B304+ROW()/100000,""))</f>
        <v/>
      </c>
      <c r="B304" s="0" t="str">
        <f aca="false">IF(AND(Visite!A7&lt;&gt;"",Visite!E7&lt;&gt;"Completata",Visite!E7&lt;&gt;"Annullata"),Visite!A7,"")</f>
        <v/>
      </c>
      <c r="C304" s="0" t="str">
        <f aca="false">IF(B304="","","Visita"&amp;IF(Visite!D7="",""," · "&amp;Visite!D7)&amp;IF(Visite!B7="","",IF(ISNUMBER(Visite!B7)," · ore "&amp;TEXT(Visite!B7,"hh:mm")," · "&amp;Visite!B7)))</f>
        <v/>
      </c>
      <c r="D304" s="0" t="str">
        <f aca="false">IF(B304="","",Visite!C7)</f>
        <v/>
      </c>
      <c r="E304" s="0" t="str">
        <f aca="false">IF(B304="","","Visita")</f>
        <v/>
      </c>
      <c r="F304" s="0" t="str">
        <f aca="false">""</f>
        <v/>
      </c>
    </row>
    <row r="305" customFormat="false" ht="15" hidden="false" customHeight="false" outlineLevel="0" collapsed="false">
      <c r="A305" s="0" t="str">
        <f aca="true">IF(B305="","",IF(B305&gt;=TODAY(),B305+ROW()/100000,""))</f>
        <v/>
      </c>
      <c r="B305" s="0" t="str">
        <f aca="false">IF(AND(Visite!A8&lt;&gt;"",Visite!E8&lt;&gt;"Completata",Visite!E8&lt;&gt;"Annullata"),Visite!A8,"")</f>
        <v/>
      </c>
      <c r="C305" s="0" t="str">
        <f aca="false">IF(B305="","","Visita"&amp;IF(Visite!D8="",""," · "&amp;Visite!D8)&amp;IF(Visite!B8="","",IF(ISNUMBER(Visite!B8)," · ore "&amp;TEXT(Visite!B8,"hh:mm")," · "&amp;Visite!B8)))</f>
        <v/>
      </c>
      <c r="D305" s="0" t="str">
        <f aca="false">IF(B305="","",Visite!C8)</f>
        <v/>
      </c>
      <c r="E305" s="0" t="str">
        <f aca="false">IF(B305="","","Visita")</f>
        <v/>
      </c>
      <c r="F305" s="0" t="str">
        <f aca="false">""</f>
        <v/>
      </c>
    </row>
    <row r="306" customFormat="false" ht="15" hidden="false" customHeight="false" outlineLevel="0" collapsed="false">
      <c r="A306" s="0" t="str">
        <f aca="true">IF(B306="","",IF(B306&gt;=TODAY(),B306+ROW()/100000,""))</f>
        <v/>
      </c>
      <c r="B306" s="0" t="str">
        <f aca="false">IF(AND(Visite!A9&lt;&gt;"",Visite!E9&lt;&gt;"Completata",Visite!E9&lt;&gt;"Annullata"),Visite!A9,"")</f>
        <v/>
      </c>
      <c r="C306" s="0" t="str">
        <f aca="false">IF(B306="","","Visita"&amp;IF(Visite!D9="",""," · "&amp;Visite!D9)&amp;IF(Visite!B9="","",IF(ISNUMBER(Visite!B9)," · ore "&amp;TEXT(Visite!B9,"hh:mm")," · "&amp;Visite!B9)))</f>
        <v/>
      </c>
      <c r="D306" s="0" t="str">
        <f aca="false">IF(B306="","",Visite!C9)</f>
        <v/>
      </c>
      <c r="E306" s="0" t="str">
        <f aca="false">IF(B306="","","Visita")</f>
        <v/>
      </c>
      <c r="F306" s="0" t="str">
        <f aca="false">""</f>
        <v/>
      </c>
    </row>
    <row r="307" customFormat="false" ht="15" hidden="false" customHeight="false" outlineLevel="0" collapsed="false">
      <c r="A307" s="0" t="str">
        <f aca="true">IF(B307="","",IF(B307&gt;=TODAY(),B307+ROW()/100000,""))</f>
        <v/>
      </c>
      <c r="B307" s="0" t="str">
        <f aca="false">IF(AND(Visite!A10&lt;&gt;"",Visite!E10&lt;&gt;"Completata",Visite!E10&lt;&gt;"Annullata"),Visite!A10,"")</f>
        <v/>
      </c>
      <c r="C307" s="0" t="str">
        <f aca="false">IF(B307="","","Visita"&amp;IF(Visite!D10="",""," · "&amp;Visite!D10)&amp;IF(Visite!B10="","",IF(ISNUMBER(Visite!B10)," · ore "&amp;TEXT(Visite!B10,"hh:mm")," · "&amp;Visite!B10)))</f>
        <v/>
      </c>
      <c r="D307" s="0" t="str">
        <f aca="false">IF(B307="","",Visite!C10)</f>
        <v/>
      </c>
      <c r="E307" s="0" t="str">
        <f aca="false">IF(B307="","","Visita")</f>
        <v/>
      </c>
      <c r="F307" s="0" t="str">
        <f aca="false">""</f>
        <v/>
      </c>
    </row>
    <row r="308" customFormat="false" ht="15" hidden="false" customHeight="false" outlineLevel="0" collapsed="false">
      <c r="A308" s="0" t="str">
        <f aca="true">IF(B308="","",IF(B308&gt;=TODAY(),B308+ROW()/100000,""))</f>
        <v/>
      </c>
      <c r="B308" s="0" t="str">
        <f aca="false">IF(AND(Visite!A11&lt;&gt;"",Visite!E11&lt;&gt;"Completata",Visite!E11&lt;&gt;"Annullata"),Visite!A11,"")</f>
        <v/>
      </c>
      <c r="C308" s="0" t="str">
        <f aca="false">IF(B308="","","Visita"&amp;IF(Visite!D11="",""," · "&amp;Visite!D11)&amp;IF(Visite!B11="","",IF(ISNUMBER(Visite!B11)," · ore "&amp;TEXT(Visite!B11,"hh:mm")," · "&amp;Visite!B11)))</f>
        <v/>
      </c>
      <c r="D308" s="0" t="str">
        <f aca="false">IF(B308="","",Visite!C11)</f>
        <v/>
      </c>
      <c r="E308" s="0" t="str">
        <f aca="false">IF(B308="","","Visita")</f>
        <v/>
      </c>
      <c r="F308" s="0" t="str">
        <f aca="false">""</f>
        <v/>
      </c>
    </row>
    <row r="309" customFormat="false" ht="15" hidden="false" customHeight="false" outlineLevel="0" collapsed="false">
      <c r="A309" s="0" t="str">
        <f aca="true">IF(B309="","",IF(B309&gt;=TODAY(),B309+ROW()/100000,""))</f>
        <v/>
      </c>
      <c r="B309" s="0" t="str">
        <f aca="false">IF(AND(Visite!A12&lt;&gt;"",Visite!E12&lt;&gt;"Completata",Visite!E12&lt;&gt;"Annullata"),Visite!A12,"")</f>
        <v/>
      </c>
      <c r="C309" s="0" t="str">
        <f aca="false">IF(B309="","","Visita"&amp;IF(Visite!D12="",""," · "&amp;Visite!D12)&amp;IF(Visite!B12="","",IF(ISNUMBER(Visite!B12)," · ore "&amp;TEXT(Visite!B12,"hh:mm")," · "&amp;Visite!B12)))</f>
        <v/>
      </c>
      <c r="D309" s="0" t="str">
        <f aca="false">IF(B309="","",Visite!C12)</f>
        <v/>
      </c>
      <c r="E309" s="0" t="str">
        <f aca="false">IF(B309="","","Visita")</f>
        <v/>
      </c>
      <c r="F309" s="0" t="str">
        <f aca="false">""</f>
        <v/>
      </c>
    </row>
    <row r="310" customFormat="false" ht="15" hidden="false" customHeight="false" outlineLevel="0" collapsed="false">
      <c r="A310" s="0" t="str">
        <f aca="true">IF(B310="","",IF(B310&gt;=TODAY(),B310+ROW()/100000,""))</f>
        <v/>
      </c>
      <c r="B310" s="0" t="str">
        <f aca="false">IF(AND(Visite!A13&lt;&gt;"",Visite!E13&lt;&gt;"Completata",Visite!E13&lt;&gt;"Annullata"),Visite!A13,"")</f>
        <v/>
      </c>
      <c r="C310" s="0" t="str">
        <f aca="false">IF(B310="","","Visita"&amp;IF(Visite!D13="",""," · "&amp;Visite!D13)&amp;IF(Visite!B13="","",IF(ISNUMBER(Visite!B13)," · ore "&amp;TEXT(Visite!B13,"hh:mm")," · "&amp;Visite!B13)))</f>
        <v/>
      </c>
      <c r="D310" s="0" t="str">
        <f aca="false">IF(B310="","",Visite!C13)</f>
        <v/>
      </c>
      <c r="E310" s="0" t="str">
        <f aca="false">IF(B310="","","Visita")</f>
        <v/>
      </c>
      <c r="F310" s="0" t="str">
        <f aca="false">""</f>
        <v/>
      </c>
    </row>
    <row r="311" customFormat="false" ht="15" hidden="false" customHeight="false" outlineLevel="0" collapsed="false">
      <c r="A311" s="0" t="str">
        <f aca="true">IF(B311="","",IF(B311&gt;=TODAY(),B311+ROW()/100000,""))</f>
        <v/>
      </c>
      <c r="B311" s="0" t="str">
        <f aca="false">IF(AND(Visite!A14&lt;&gt;"",Visite!E14&lt;&gt;"Completata",Visite!E14&lt;&gt;"Annullata"),Visite!A14,"")</f>
        <v/>
      </c>
      <c r="C311" s="0" t="str">
        <f aca="false">IF(B311="","","Visita"&amp;IF(Visite!D14="",""," · "&amp;Visite!D14)&amp;IF(Visite!B14="","",IF(ISNUMBER(Visite!B14)," · ore "&amp;TEXT(Visite!B14,"hh:mm")," · "&amp;Visite!B14)))</f>
        <v/>
      </c>
      <c r="D311" s="0" t="str">
        <f aca="false">IF(B311="","",Visite!C14)</f>
        <v/>
      </c>
      <c r="E311" s="0" t="str">
        <f aca="false">IF(B311="","","Visita")</f>
        <v/>
      </c>
      <c r="F311" s="0" t="str">
        <f aca="false">""</f>
        <v/>
      </c>
    </row>
    <row r="312" customFormat="false" ht="15" hidden="false" customHeight="false" outlineLevel="0" collapsed="false">
      <c r="A312" s="0" t="str">
        <f aca="true">IF(B312="","",IF(B312&gt;=TODAY(),B312+ROW()/100000,""))</f>
        <v/>
      </c>
      <c r="B312" s="0" t="str">
        <f aca="false">IF(AND(Visite!A15&lt;&gt;"",Visite!E15&lt;&gt;"Completata",Visite!E15&lt;&gt;"Annullata"),Visite!A15,"")</f>
        <v/>
      </c>
      <c r="C312" s="0" t="str">
        <f aca="false">IF(B312="","","Visita"&amp;IF(Visite!D15="",""," · "&amp;Visite!D15)&amp;IF(Visite!B15="","",IF(ISNUMBER(Visite!B15)," · ore "&amp;TEXT(Visite!B15,"hh:mm")," · "&amp;Visite!B15)))</f>
        <v/>
      </c>
      <c r="D312" s="0" t="str">
        <f aca="false">IF(B312="","",Visite!C15)</f>
        <v/>
      </c>
      <c r="E312" s="0" t="str">
        <f aca="false">IF(B312="","","Visita")</f>
        <v/>
      </c>
      <c r="F312" s="0" t="str">
        <f aca="false">""</f>
        <v/>
      </c>
    </row>
    <row r="313" customFormat="false" ht="15" hidden="false" customHeight="false" outlineLevel="0" collapsed="false">
      <c r="A313" s="0" t="str">
        <f aca="true">IF(B313="","",IF(B313&gt;=TODAY(),B313+ROW()/100000,""))</f>
        <v/>
      </c>
      <c r="B313" s="0" t="str">
        <f aca="false">IF(AND(Visite!A16&lt;&gt;"",Visite!E16&lt;&gt;"Completata",Visite!E16&lt;&gt;"Annullata"),Visite!A16,"")</f>
        <v/>
      </c>
      <c r="C313" s="0" t="str">
        <f aca="false">IF(B313="","","Visita"&amp;IF(Visite!D16="",""," · "&amp;Visite!D16)&amp;IF(Visite!B16="","",IF(ISNUMBER(Visite!B16)," · ore "&amp;TEXT(Visite!B16,"hh:mm")," · "&amp;Visite!B16)))</f>
        <v/>
      </c>
      <c r="D313" s="0" t="str">
        <f aca="false">IF(B313="","",Visite!C16)</f>
        <v/>
      </c>
      <c r="E313" s="0" t="str">
        <f aca="false">IF(B313="","","Visita")</f>
        <v/>
      </c>
      <c r="F313" s="0" t="str">
        <f aca="false">""</f>
        <v/>
      </c>
    </row>
    <row r="314" customFormat="false" ht="15" hidden="false" customHeight="false" outlineLevel="0" collapsed="false">
      <c r="A314" s="0" t="str">
        <f aca="true">IF(B314="","",IF(B314&gt;=TODAY(),B314+ROW()/100000,""))</f>
        <v/>
      </c>
      <c r="B314" s="0" t="str">
        <f aca="false">IF(AND(Visite!A17&lt;&gt;"",Visite!E17&lt;&gt;"Completata",Visite!E17&lt;&gt;"Annullata"),Visite!A17,"")</f>
        <v/>
      </c>
      <c r="C314" s="0" t="str">
        <f aca="false">IF(B314="","","Visita"&amp;IF(Visite!D17="",""," · "&amp;Visite!D17)&amp;IF(Visite!B17="","",IF(ISNUMBER(Visite!B17)," · ore "&amp;TEXT(Visite!B17,"hh:mm")," · "&amp;Visite!B17)))</f>
        <v/>
      </c>
      <c r="D314" s="0" t="str">
        <f aca="false">IF(B314="","",Visite!C17)</f>
        <v/>
      </c>
      <c r="E314" s="0" t="str">
        <f aca="false">IF(B314="","","Visita")</f>
        <v/>
      </c>
      <c r="F314" s="0" t="str">
        <f aca="false">""</f>
        <v/>
      </c>
    </row>
    <row r="315" customFormat="false" ht="15" hidden="false" customHeight="false" outlineLevel="0" collapsed="false">
      <c r="A315" s="0" t="str">
        <f aca="true">IF(B315="","",IF(B315&gt;=TODAY(),B315+ROW()/100000,""))</f>
        <v/>
      </c>
      <c r="B315" s="0" t="str">
        <f aca="false">IF(AND(Visite!A18&lt;&gt;"",Visite!E18&lt;&gt;"Completata",Visite!E18&lt;&gt;"Annullata"),Visite!A18,"")</f>
        <v/>
      </c>
      <c r="C315" s="0" t="str">
        <f aca="false">IF(B315="","","Visita"&amp;IF(Visite!D18="",""," · "&amp;Visite!D18)&amp;IF(Visite!B18="","",IF(ISNUMBER(Visite!B18)," · ore "&amp;TEXT(Visite!B18,"hh:mm")," · "&amp;Visite!B18)))</f>
        <v/>
      </c>
      <c r="D315" s="0" t="str">
        <f aca="false">IF(B315="","",Visite!C18)</f>
        <v/>
      </c>
      <c r="E315" s="0" t="str">
        <f aca="false">IF(B315="","","Visita")</f>
        <v/>
      </c>
      <c r="F315" s="0" t="str">
        <f aca="false">""</f>
        <v/>
      </c>
    </row>
    <row r="316" customFormat="false" ht="15" hidden="false" customHeight="false" outlineLevel="0" collapsed="false">
      <c r="A316" s="0" t="str">
        <f aca="true">IF(B316="","",IF(B316&gt;=TODAY(),B316+ROW()/100000,""))</f>
        <v/>
      </c>
      <c r="B316" s="0" t="str">
        <f aca="false">IF(AND(Visite!A19&lt;&gt;"",Visite!E19&lt;&gt;"Completata",Visite!E19&lt;&gt;"Annullata"),Visite!A19,"")</f>
        <v/>
      </c>
      <c r="C316" s="0" t="str">
        <f aca="false">IF(B316="","","Visita"&amp;IF(Visite!D19="",""," · "&amp;Visite!D19)&amp;IF(Visite!B19="","",IF(ISNUMBER(Visite!B19)," · ore "&amp;TEXT(Visite!B19,"hh:mm")," · "&amp;Visite!B19)))</f>
        <v/>
      </c>
      <c r="D316" s="0" t="str">
        <f aca="false">IF(B316="","",Visite!C19)</f>
        <v/>
      </c>
      <c r="E316" s="0" t="str">
        <f aca="false">IF(B316="","","Visita")</f>
        <v/>
      </c>
      <c r="F316" s="0" t="str">
        <f aca="false">""</f>
        <v/>
      </c>
    </row>
    <row r="317" customFormat="false" ht="15" hidden="false" customHeight="false" outlineLevel="0" collapsed="false">
      <c r="A317" s="0" t="str">
        <f aca="true">IF(B317="","",IF(B317&gt;=TODAY(),B317+ROW()/100000,""))</f>
        <v/>
      </c>
      <c r="B317" s="0" t="str">
        <f aca="false">IF(AND(Visite!A20&lt;&gt;"",Visite!E20&lt;&gt;"Completata",Visite!E20&lt;&gt;"Annullata"),Visite!A20,"")</f>
        <v/>
      </c>
      <c r="C317" s="0" t="str">
        <f aca="false">IF(B317="","","Visita"&amp;IF(Visite!D20="",""," · "&amp;Visite!D20)&amp;IF(Visite!B20="","",IF(ISNUMBER(Visite!B20)," · ore "&amp;TEXT(Visite!B20,"hh:mm")," · "&amp;Visite!B20)))</f>
        <v/>
      </c>
      <c r="D317" s="0" t="str">
        <f aca="false">IF(B317="","",Visite!C20)</f>
        <v/>
      </c>
      <c r="E317" s="0" t="str">
        <f aca="false">IF(B317="","","Visita")</f>
        <v/>
      </c>
      <c r="F317" s="0" t="str">
        <f aca="false">""</f>
        <v/>
      </c>
    </row>
    <row r="318" customFormat="false" ht="15" hidden="false" customHeight="false" outlineLevel="0" collapsed="false">
      <c r="A318" s="0" t="str">
        <f aca="true">IF(B318="","",IF(B318&gt;=TODAY(),B318+ROW()/100000,""))</f>
        <v/>
      </c>
      <c r="B318" s="0" t="str">
        <f aca="false">IF(AND(Visite!A21&lt;&gt;"",Visite!E21&lt;&gt;"Completata",Visite!E21&lt;&gt;"Annullata"),Visite!A21,"")</f>
        <v/>
      </c>
      <c r="C318" s="0" t="str">
        <f aca="false">IF(B318="","","Visita"&amp;IF(Visite!D21="",""," · "&amp;Visite!D21)&amp;IF(Visite!B21="","",IF(ISNUMBER(Visite!B21)," · ore "&amp;TEXT(Visite!B21,"hh:mm")," · "&amp;Visite!B21)))</f>
        <v/>
      </c>
      <c r="D318" s="0" t="str">
        <f aca="false">IF(B318="","",Visite!C21)</f>
        <v/>
      </c>
      <c r="E318" s="0" t="str">
        <f aca="false">IF(B318="","","Visita")</f>
        <v/>
      </c>
      <c r="F318" s="0" t="str">
        <f aca="false">""</f>
        <v/>
      </c>
    </row>
    <row r="319" customFormat="false" ht="15" hidden="false" customHeight="false" outlineLevel="0" collapsed="false">
      <c r="A319" s="0" t="str">
        <f aca="true">IF(B319="","",IF(B319&gt;=TODAY(),B319+ROW()/100000,""))</f>
        <v/>
      </c>
      <c r="B319" s="0" t="str">
        <f aca="false">IF(AND(Visite!A22&lt;&gt;"",Visite!E22&lt;&gt;"Completata",Visite!E22&lt;&gt;"Annullata"),Visite!A22,"")</f>
        <v/>
      </c>
      <c r="C319" s="0" t="str">
        <f aca="false">IF(B319="","","Visita"&amp;IF(Visite!D22="",""," · "&amp;Visite!D22)&amp;IF(Visite!B22="","",IF(ISNUMBER(Visite!B22)," · ore "&amp;TEXT(Visite!B22,"hh:mm")," · "&amp;Visite!B22)))</f>
        <v/>
      </c>
      <c r="D319" s="0" t="str">
        <f aca="false">IF(B319="","",Visite!C22)</f>
        <v/>
      </c>
      <c r="E319" s="0" t="str">
        <f aca="false">IF(B319="","","Visita")</f>
        <v/>
      </c>
      <c r="F319" s="0" t="str">
        <f aca="false">""</f>
        <v/>
      </c>
    </row>
    <row r="320" customFormat="false" ht="15" hidden="false" customHeight="false" outlineLevel="0" collapsed="false">
      <c r="A320" s="0" t="str">
        <f aca="true">IF(B320="","",IF(B320&gt;=TODAY(),B320+ROW()/100000,""))</f>
        <v/>
      </c>
      <c r="B320" s="0" t="str">
        <f aca="false">IF(AND(Visite!A23&lt;&gt;"",Visite!E23&lt;&gt;"Completata",Visite!E23&lt;&gt;"Annullata"),Visite!A23,"")</f>
        <v/>
      </c>
      <c r="C320" s="0" t="str">
        <f aca="false">IF(B320="","","Visita"&amp;IF(Visite!D23="",""," · "&amp;Visite!D23)&amp;IF(Visite!B23="","",IF(ISNUMBER(Visite!B23)," · ore "&amp;TEXT(Visite!B23,"hh:mm")," · "&amp;Visite!B23)))</f>
        <v/>
      </c>
      <c r="D320" s="0" t="str">
        <f aca="false">IF(B320="","",Visite!C23)</f>
        <v/>
      </c>
      <c r="E320" s="0" t="str">
        <f aca="false">IF(B320="","","Visita")</f>
        <v/>
      </c>
      <c r="F320" s="0" t="str">
        <f aca="false">""</f>
        <v/>
      </c>
    </row>
    <row r="321" customFormat="false" ht="15" hidden="false" customHeight="false" outlineLevel="0" collapsed="false">
      <c r="A321" s="0" t="str">
        <f aca="true">IF(B321="","",IF(B321&gt;=TODAY(),B321+ROW()/100000,""))</f>
        <v/>
      </c>
      <c r="B321" s="0" t="str">
        <f aca="false">IF(AND(Visite!A24&lt;&gt;"",Visite!E24&lt;&gt;"Completata",Visite!E24&lt;&gt;"Annullata"),Visite!A24,"")</f>
        <v/>
      </c>
      <c r="C321" s="0" t="str">
        <f aca="false">IF(B321="","","Visita"&amp;IF(Visite!D24="",""," · "&amp;Visite!D24)&amp;IF(Visite!B24="","",IF(ISNUMBER(Visite!B24)," · ore "&amp;TEXT(Visite!B24,"hh:mm")," · "&amp;Visite!B24)))</f>
        <v/>
      </c>
      <c r="D321" s="0" t="str">
        <f aca="false">IF(B321="","",Visite!C24)</f>
        <v/>
      </c>
      <c r="E321" s="0" t="str">
        <f aca="false">IF(B321="","","Visita")</f>
        <v/>
      </c>
      <c r="F321" s="0" t="str">
        <f aca="false">""</f>
        <v/>
      </c>
    </row>
    <row r="322" customFormat="false" ht="15" hidden="false" customHeight="false" outlineLevel="0" collapsed="false">
      <c r="A322" s="0" t="str">
        <f aca="true">IF(B322="","",IF(B322&gt;=TODAY(),B322+ROW()/100000,""))</f>
        <v/>
      </c>
      <c r="B322" s="0" t="str">
        <f aca="false">IF(AND(Visite!A25&lt;&gt;"",Visite!E25&lt;&gt;"Completata",Visite!E25&lt;&gt;"Annullata"),Visite!A25,"")</f>
        <v/>
      </c>
      <c r="C322" s="0" t="str">
        <f aca="false">IF(B322="","","Visita"&amp;IF(Visite!D25="",""," · "&amp;Visite!D25)&amp;IF(Visite!B25="","",IF(ISNUMBER(Visite!B25)," · ore "&amp;TEXT(Visite!B25,"hh:mm")," · "&amp;Visite!B25)))</f>
        <v/>
      </c>
      <c r="D322" s="0" t="str">
        <f aca="false">IF(B322="","",Visite!C25)</f>
        <v/>
      </c>
      <c r="E322" s="0" t="str">
        <f aca="false">IF(B322="","","Visita")</f>
        <v/>
      </c>
      <c r="F322" s="0" t="str">
        <f aca="false">""</f>
        <v/>
      </c>
    </row>
    <row r="323" customFormat="false" ht="15" hidden="false" customHeight="false" outlineLevel="0" collapsed="false">
      <c r="A323" s="0" t="str">
        <f aca="true">IF(B323="","",IF(B323&gt;=TODAY(),B323+ROW()/100000,""))</f>
        <v/>
      </c>
      <c r="B323" s="0" t="str">
        <f aca="false">IF(AND(Visite!A26&lt;&gt;"",Visite!E26&lt;&gt;"Completata",Visite!E26&lt;&gt;"Annullata"),Visite!A26,"")</f>
        <v/>
      </c>
      <c r="C323" s="0" t="str">
        <f aca="false">IF(B323="","","Visita"&amp;IF(Visite!D26="",""," · "&amp;Visite!D26)&amp;IF(Visite!B26="","",IF(ISNUMBER(Visite!B26)," · ore "&amp;TEXT(Visite!B26,"hh:mm")," · "&amp;Visite!B26)))</f>
        <v/>
      </c>
      <c r="D323" s="0" t="str">
        <f aca="false">IF(B323="","",Visite!C26)</f>
        <v/>
      </c>
      <c r="E323" s="0" t="str">
        <f aca="false">IF(B323="","","Visita")</f>
        <v/>
      </c>
      <c r="F323" s="0" t="str">
        <f aca="false">""</f>
        <v/>
      </c>
    </row>
    <row r="324" customFormat="false" ht="15" hidden="false" customHeight="false" outlineLevel="0" collapsed="false">
      <c r="A324" s="0" t="str">
        <f aca="true">IF(B324="","",IF(B324&gt;=TODAY(),B324+ROW()/100000,""))</f>
        <v/>
      </c>
      <c r="B324" s="0" t="str">
        <f aca="false">IF(AND(Visite!A27&lt;&gt;"",Visite!E27&lt;&gt;"Completata",Visite!E27&lt;&gt;"Annullata"),Visite!A27,"")</f>
        <v/>
      </c>
      <c r="C324" s="0" t="str">
        <f aca="false">IF(B324="","","Visita"&amp;IF(Visite!D27="",""," · "&amp;Visite!D27)&amp;IF(Visite!B27="","",IF(ISNUMBER(Visite!B27)," · ore "&amp;TEXT(Visite!B27,"hh:mm")," · "&amp;Visite!B27)))</f>
        <v/>
      </c>
      <c r="D324" s="0" t="str">
        <f aca="false">IF(B324="","",Visite!C27)</f>
        <v/>
      </c>
      <c r="E324" s="0" t="str">
        <f aca="false">IF(B324="","","Visita")</f>
        <v/>
      </c>
      <c r="F324" s="0" t="str">
        <f aca="false">""</f>
        <v/>
      </c>
    </row>
    <row r="325" customFormat="false" ht="15" hidden="false" customHeight="false" outlineLevel="0" collapsed="false">
      <c r="A325" s="0" t="str">
        <f aca="true">IF(B325="","",IF(B325&gt;=TODAY(),B325+ROW()/100000,""))</f>
        <v/>
      </c>
      <c r="B325" s="0" t="str">
        <f aca="false">IF(AND(Visite!A28&lt;&gt;"",Visite!E28&lt;&gt;"Completata",Visite!E28&lt;&gt;"Annullata"),Visite!A28,"")</f>
        <v/>
      </c>
      <c r="C325" s="0" t="str">
        <f aca="false">IF(B325="","","Visita"&amp;IF(Visite!D28="",""," · "&amp;Visite!D28)&amp;IF(Visite!B28="","",IF(ISNUMBER(Visite!B28)," · ore "&amp;TEXT(Visite!B28,"hh:mm")," · "&amp;Visite!B28)))</f>
        <v/>
      </c>
      <c r="D325" s="0" t="str">
        <f aca="false">IF(B325="","",Visite!C28)</f>
        <v/>
      </c>
      <c r="E325" s="0" t="str">
        <f aca="false">IF(B325="","","Visita")</f>
        <v/>
      </c>
      <c r="F325" s="0" t="str">
        <f aca="false">""</f>
        <v/>
      </c>
    </row>
    <row r="326" customFormat="false" ht="15" hidden="false" customHeight="false" outlineLevel="0" collapsed="false">
      <c r="A326" s="0" t="str">
        <f aca="true">IF(B326="","",IF(B326&gt;=TODAY(),B326+ROW()/100000,""))</f>
        <v/>
      </c>
      <c r="B326" s="0" t="str">
        <f aca="false">IF(AND(Visite!A29&lt;&gt;"",Visite!E29&lt;&gt;"Completata",Visite!E29&lt;&gt;"Annullata"),Visite!A29,"")</f>
        <v/>
      </c>
      <c r="C326" s="0" t="str">
        <f aca="false">IF(B326="","","Visita"&amp;IF(Visite!D29="",""," · "&amp;Visite!D29)&amp;IF(Visite!B29="","",IF(ISNUMBER(Visite!B29)," · ore "&amp;TEXT(Visite!B29,"hh:mm")," · "&amp;Visite!B29)))</f>
        <v/>
      </c>
      <c r="D326" s="0" t="str">
        <f aca="false">IF(B326="","",Visite!C29)</f>
        <v/>
      </c>
      <c r="E326" s="0" t="str">
        <f aca="false">IF(B326="","","Visita")</f>
        <v/>
      </c>
      <c r="F326" s="0" t="str">
        <f aca="false">""</f>
        <v/>
      </c>
    </row>
    <row r="327" customFormat="false" ht="15" hidden="false" customHeight="false" outlineLevel="0" collapsed="false">
      <c r="A327" s="0" t="str">
        <f aca="true">IF(B327="","",IF(B327&gt;=TODAY(),B327+ROW()/100000,""))</f>
        <v/>
      </c>
      <c r="B327" s="0" t="str">
        <f aca="false">IF(AND(Visite!A30&lt;&gt;"",Visite!E30&lt;&gt;"Completata",Visite!E30&lt;&gt;"Annullata"),Visite!A30,"")</f>
        <v/>
      </c>
      <c r="C327" s="0" t="str">
        <f aca="false">IF(B327="","","Visita"&amp;IF(Visite!D30="",""," · "&amp;Visite!D30)&amp;IF(Visite!B30="","",IF(ISNUMBER(Visite!B30)," · ore "&amp;TEXT(Visite!B30,"hh:mm")," · "&amp;Visite!B30)))</f>
        <v/>
      </c>
      <c r="D327" s="0" t="str">
        <f aca="false">IF(B327="","",Visite!C30)</f>
        <v/>
      </c>
      <c r="E327" s="0" t="str">
        <f aca="false">IF(B327="","","Visita")</f>
        <v/>
      </c>
      <c r="F327" s="0" t="str">
        <f aca="false">""</f>
        <v/>
      </c>
    </row>
    <row r="328" customFormat="false" ht="15" hidden="false" customHeight="false" outlineLevel="0" collapsed="false">
      <c r="A328" s="0" t="str">
        <f aca="true">IF(B328="","",IF(B328&gt;=TODAY(),B328+ROW()/100000,""))</f>
        <v/>
      </c>
      <c r="B328" s="0" t="str">
        <f aca="false">IF(AND(Visite!A31&lt;&gt;"",Visite!E31&lt;&gt;"Completata",Visite!E31&lt;&gt;"Annullata"),Visite!A31,"")</f>
        <v/>
      </c>
      <c r="C328" s="0" t="str">
        <f aca="false">IF(B328="","","Visita"&amp;IF(Visite!D31="",""," · "&amp;Visite!D31)&amp;IF(Visite!B31="","",IF(ISNUMBER(Visite!B31)," · ore "&amp;TEXT(Visite!B31,"hh:mm")," · "&amp;Visite!B31)))</f>
        <v/>
      </c>
      <c r="D328" s="0" t="str">
        <f aca="false">IF(B328="","",Visite!C31)</f>
        <v/>
      </c>
      <c r="E328" s="0" t="str">
        <f aca="false">IF(B328="","","Visita")</f>
        <v/>
      </c>
      <c r="F328" s="0" t="str">
        <f aca="false">""</f>
        <v/>
      </c>
    </row>
    <row r="329" customFormat="false" ht="15" hidden="false" customHeight="false" outlineLevel="0" collapsed="false">
      <c r="A329" s="0" t="str">
        <f aca="true">IF(B329="","",IF(B329&gt;=TODAY(),B329+ROW()/100000,""))</f>
        <v/>
      </c>
      <c r="B329" s="0" t="str">
        <f aca="false">IF(AND(Visite!A32&lt;&gt;"",Visite!E32&lt;&gt;"Completata",Visite!E32&lt;&gt;"Annullata"),Visite!A32,"")</f>
        <v/>
      </c>
      <c r="C329" s="0" t="str">
        <f aca="false">IF(B329="","","Visita"&amp;IF(Visite!D32="",""," · "&amp;Visite!D32)&amp;IF(Visite!B32="","",IF(ISNUMBER(Visite!B32)," · ore "&amp;TEXT(Visite!B32,"hh:mm")," · "&amp;Visite!B32)))</f>
        <v/>
      </c>
      <c r="D329" s="0" t="str">
        <f aca="false">IF(B329="","",Visite!C32)</f>
        <v/>
      </c>
      <c r="E329" s="0" t="str">
        <f aca="false">IF(B329="","","Visita")</f>
        <v/>
      </c>
      <c r="F329" s="0" t="str">
        <f aca="false">""</f>
        <v/>
      </c>
    </row>
    <row r="330" customFormat="false" ht="15" hidden="false" customHeight="false" outlineLevel="0" collapsed="false">
      <c r="A330" s="0" t="str">
        <f aca="true">IF(B330="","",IF(B330&gt;=TODAY(),B330+ROW()/100000,""))</f>
        <v/>
      </c>
      <c r="B330" s="0" t="str">
        <f aca="false">IF(AND(Visite!A33&lt;&gt;"",Visite!E33&lt;&gt;"Completata",Visite!E33&lt;&gt;"Annullata"),Visite!A33,"")</f>
        <v/>
      </c>
      <c r="C330" s="0" t="str">
        <f aca="false">IF(B330="","","Visita"&amp;IF(Visite!D33="",""," · "&amp;Visite!D33)&amp;IF(Visite!B33="","",IF(ISNUMBER(Visite!B33)," · ore "&amp;TEXT(Visite!B33,"hh:mm")," · "&amp;Visite!B33)))</f>
        <v/>
      </c>
      <c r="D330" s="0" t="str">
        <f aca="false">IF(B330="","",Visite!C33)</f>
        <v/>
      </c>
      <c r="E330" s="0" t="str">
        <f aca="false">IF(B330="","","Visita")</f>
        <v/>
      </c>
      <c r="F330" s="0" t="str">
        <f aca="false">""</f>
        <v/>
      </c>
    </row>
    <row r="331" customFormat="false" ht="15" hidden="false" customHeight="false" outlineLevel="0" collapsed="false">
      <c r="A331" s="0" t="str">
        <f aca="true">IF(B331="","",IF(B331&gt;=TODAY(),B331+ROW()/100000,""))</f>
        <v/>
      </c>
      <c r="B331" s="0" t="str">
        <f aca="false">IF(AND(Visite!A34&lt;&gt;"",Visite!E34&lt;&gt;"Completata",Visite!E34&lt;&gt;"Annullata"),Visite!A34,"")</f>
        <v/>
      </c>
      <c r="C331" s="0" t="str">
        <f aca="false">IF(B331="","","Visita"&amp;IF(Visite!D34="",""," · "&amp;Visite!D34)&amp;IF(Visite!B34="","",IF(ISNUMBER(Visite!B34)," · ore "&amp;TEXT(Visite!B34,"hh:mm")," · "&amp;Visite!B34)))</f>
        <v/>
      </c>
      <c r="D331" s="0" t="str">
        <f aca="false">IF(B331="","",Visite!C34)</f>
        <v/>
      </c>
      <c r="E331" s="0" t="str">
        <f aca="false">IF(B331="","","Visita")</f>
        <v/>
      </c>
      <c r="F331" s="0" t="str">
        <f aca="false">""</f>
        <v/>
      </c>
    </row>
    <row r="332" customFormat="false" ht="15" hidden="false" customHeight="false" outlineLevel="0" collapsed="false">
      <c r="A332" s="0" t="str">
        <f aca="true">IF(B332="","",IF(B332&gt;=TODAY(),B332+ROW()/100000,""))</f>
        <v/>
      </c>
      <c r="B332" s="0" t="str">
        <f aca="false">IF(AND(Visite!A35&lt;&gt;"",Visite!E35&lt;&gt;"Completata",Visite!E35&lt;&gt;"Annullata"),Visite!A35,"")</f>
        <v/>
      </c>
      <c r="C332" s="0" t="str">
        <f aca="false">IF(B332="","","Visita"&amp;IF(Visite!D35="",""," · "&amp;Visite!D35)&amp;IF(Visite!B35="","",IF(ISNUMBER(Visite!B35)," · ore "&amp;TEXT(Visite!B35,"hh:mm")," · "&amp;Visite!B35)))</f>
        <v/>
      </c>
      <c r="D332" s="0" t="str">
        <f aca="false">IF(B332="","",Visite!C35)</f>
        <v/>
      </c>
      <c r="E332" s="0" t="str">
        <f aca="false">IF(B332="","","Visita")</f>
        <v/>
      </c>
      <c r="F332" s="0" t="str">
        <f aca="false">""</f>
        <v/>
      </c>
    </row>
    <row r="333" customFormat="false" ht="15" hidden="false" customHeight="false" outlineLevel="0" collapsed="false">
      <c r="A333" s="0" t="str">
        <f aca="true">IF(B333="","",IF(B333&gt;=TODAY(),B333+ROW()/100000,""))</f>
        <v/>
      </c>
      <c r="B333" s="0" t="str">
        <f aca="false">IF(AND(Visite!A36&lt;&gt;"",Visite!E36&lt;&gt;"Completata",Visite!E36&lt;&gt;"Annullata"),Visite!A36,"")</f>
        <v/>
      </c>
      <c r="C333" s="0" t="str">
        <f aca="false">IF(B333="","","Visita"&amp;IF(Visite!D36="",""," · "&amp;Visite!D36)&amp;IF(Visite!B36="","",IF(ISNUMBER(Visite!B36)," · ore "&amp;TEXT(Visite!B36,"hh:mm")," · "&amp;Visite!B36)))</f>
        <v/>
      </c>
      <c r="D333" s="0" t="str">
        <f aca="false">IF(B333="","",Visite!C36)</f>
        <v/>
      </c>
      <c r="E333" s="0" t="str">
        <f aca="false">IF(B333="","","Visita")</f>
        <v/>
      </c>
      <c r="F333" s="0" t="str">
        <f aca="false">""</f>
        <v/>
      </c>
    </row>
    <row r="334" customFormat="false" ht="15" hidden="false" customHeight="false" outlineLevel="0" collapsed="false">
      <c r="A334" s="0" t="str">
        <f aca="true">IF(B334="","",IF(B334&gt;=TODAY(),B334+ROW()/100000,""))</f>
        <v/>
      </c>
      <c r="B334" s="0" t="str">
        <f aca="false">IF(AND(Visite!A37&lt;&gt;"",Visite!E37&lt;&gt;"Completata",Visite!E37&lt;&gt;"Annullata"),Visite!A37,"")</f>
        <v/>
      </c>
      <c r="C334" s="0" t="str">
        <f aca="false">IF(B334="","","Visita"&amp;IF(Visite!D37="",""," · "&amp;Visite!D37)&amp;IF(Visite!B37="","",IF(ISNUMBER(Visite!B37)," · ore "&amp;TEXT(Visite!B37,"hh:mm")," · "&amp;Visite!B37)))</f>
        <v/>
      </c>
      <c r="D334" s="0" t="str">
        <f aca="false">IF(B334="","",Visite!C37)</f>
        <v/>
      </c>
      <c r="E334" s="0" t="str">
        <f aca="false">IF(B334="","","Visita")</f>
        <v/>
      </c>
      <c r="F334" s="0" t="str">
        <f aca="false">""</f>
        <v/>
      </c>
    </row>
    <row r="335" customFormat="false" ht="15" hidden="false" customHeight="false" outlineLevel="0" collapsed="false">
      <c r="A335" s="0" t="str">
        <f aca="true">IF(B335="","",IF(B335&gt;=TODAY(),B335+ROW()/100000,""))</f>
        <v/>
      </c>
      <c r="B335" s="0" t="str">
        <f aca="false">IF(AND(Visite!A38&lt;&gt;"",Visite!E38&lt;&gt;"Completata",Visite!E38&lt;&gt;"Annullata"),Visite!A38,"")</f>
        <v/>
      </c>
      <c r="C335" s="0" t="str">
        <f aca="false">IF(B335="","","Visita"&amp;IF(Visite!D38="",""," · "&amp;Visite!D38)&amp;IF(Visite!B38="","",IF(ISNUMBER(Visite!B38)," · ore "&amp;TEXT(Visite!B38,"hh:mm")," · "&amp;Visite!B38)))</f>
        <v/>
      </c>
      <c r="D335" s="0" t="str">
        <f aca="false">IF(B335="","",Visite!C38)</f>
        <v/>
      </c>
      <c r="E335" s="0" t="str">
        <f aca="false">IF(B335="","","Visita")</f>
        <v/>
      </c>
      <c r="F335" s="0" t="str">
        <f aca="false">""</f>
        <v/>
      </c>
    </row>
    <row r="336" customFormat="false" ht="15" hidden="false" customHeight="false" outlineLevel="0" collapsed="false">
      <c r="A336" s="0" t="str">
        <f aca="true">IF(B336="","",IF(B336&gt;=TODAY(),B336+ROW()/100000,""))</f>
        <v/>
      </c>
      <c r="B336" s="0" t="str">
        <f aca="false">IF(AND(Visite!A39&lt;&gt;"",Visite!E39&lt;&gt;"Completata",Visite!E39&lt;&gt;"Annullata"),Visite!A39,"")</f>
        <v/>
      </c>
      <c r="C336" s="0" t="str">
        <f aca="false">IF(B336="","","Visita"&amp;IF(Visite!D39="",""," · "&amp;Visite!D39)&amp;IF(Visite!B39="","",IF(ISNUMBER(Visite!B39)," · ore "&amp;TEXT(Visite!B39,"hh:mm")," · "&amp;Visite!B39)))</f>
        <v/>
      </c>
      <c r="D336" s="0" t="str">
        <f aca="false">IF(B336="","",Visite!C39)</f>
        <v/>
      </c>
      <c r="E336" s="0" t="str">
        <f aca="false">IF(B336="","","Visita")</f>
        <v/>
      </c>
      <c r="F336" s="0" t="str">
        <f aca="false">""</f>
        <v/>
      </c>
    </row>
    <row r="337" customFormat="false" ht="15" hidden="false" customHeight="false" outlineLevel="0" collapsed="false">
      <c r="A337" s="0" t="str">
        <f aca="true">IF(B337="","",IF(B337&gt;=TODAY(),B337+ROW()/100000,""))</f>
        <v/>
      </c>
      <c r="B337" s="0" t="str">
        <f aca="false">IF(AND(Visite!A40&lt;&gt;"",Visite!E40&lt;&gt;"Completata",Visite!E40&lt;&gt;"Annullata"),Visite!A40,"")</f>
        <v/>
      </c>
      <c r="C337" s="0" t="str">
        <f aca="false">IF(B337="","","Visita"&amp;IF(Visite!D40="",""," · "&amp;Visite!D40)&amp;IF(Visite!B40="","",IF(ISNUMBER(Visite!B40)," · ore "&amp;TEXT(Visite!B40,"hh:mm")," · "&amp;Visite!B40)))</f>
        <v/>
      </c>
      <c r="D337" s="0" t="str">
        <f aca="false">IF(B337="","",Visite!C40)</f>
        <v/>
      </c>
      <c r="E337" s="0" t="str">
        <f aca="false">IF(B337="","","Visita")</f>
        <v/>
      </c>
      <c r="F337" s="0" t="str">
        <f aca="false">""</f>
        <v/>
      </c>
    </row>
    <row r="338" customFormat="false" ht="15" hidden="false" customHeight="false" outlineLevel="0" collapsed="false">
      <c r="A338" s="0" t="str">
        <f aca="true">IF(B338="","",IF(B338&gt;=TODAY(),B338+ROW()/100000,""))</f>
        <v/>
      </c>
      <c r="B338" s="0" t="str">
        <f aca="false">IF(AND(Visite!A41&lt;&gt;"",Visite!E41&lt;&gt;"Completata",Visite!E41&lt;&gt;"Annullata"),Visite!A41,"")</f>
        <v/>
      </c>
      <c r="C338" s="0" t="str">
        <f aca="false">IF(B338="","","Visita"&amp;IF(Visite!D41="",""," · "&amp;Visite!D41)&amp;IF(Visite!B41="","",IF(ISNUMBER(Visite!B41)," · ore "&amp;TEXT(Visite!B41,"hh:mm")," · "&amp;Visite!B41)))</f>
        <v/>
      </c>
      <c r="D338" s="0" t="str">
        <f aca="false">IF(B338="","",Visite!C41)</f>
        <v/>
      </c>
      <c r="E338" s="0" t="str">
        <f aca="false">IF(B338="","","Visita")</f>
        <v/>
      </c>
      <c r="F338" s="0" t="str">
        <f aca="false">""</f>
        <v/>
      </c>
    </row>
    <row r="339" customFormat="false" ht="15" hidden="false" customHeight="false" outlineLevel="0" collapsed="false">
      <c r="A339" s="0" t="str">
        <f aca="true">IF(B339="","",IF(B339&gt;=TODAY(),B339+ROW()/100000,""))</f>
        <v/>
      </c>
      <c r="B339" s="0" t="str">
        <f aca="false">IF(AND(Visite!A42&lt;&gt;"",Visite!E42&lt;&gt;"Completata",Visite!E42&lt;&gt;"Annullata"),Visite!A42,"")</f>
        <v/>
      </c>
      <c r="C339" s="0" t="str">
        <f aca="false">IF(B339="","","Visita"&amp;IF(Visite!D42="",""," · "&amp;Visite!D42)&amp;IF(Visite!B42="","",IF(ISNUMBER(Visite!B42)," · ore "&amp;TEXT(Visite!B42,"hh:mm")," · "&amp;Visite!B42)))</f>
        <v/>
      </c>
      <c r="D339" s="0" t="str">
        <f aca="false">IF(B339="","",Visite!C42)</f>
        <v/>
      </c>
      <c r="E339" s="0" t="str">
        <f aca="false">IF(B339="","","Visita")</f>
        <v/>
      </c>
      <c r="F339" s="0" t="str">
        <f aca="false">""</f>
        <v/>
      </c>
    </row>
    <row r="340" customFormat="false" ht="15" hidden="false" customHeight="false" outlineLevel="0" collapsed="false">
      <c r="A340" s="0" t="str">
        <f aca="true">IF(B340="","",IF(B340&gt;=TODAY(),B340+ROW()/100000,""))</f>
        <v/>
      </c>
      <c r="B340" s="0" t="str">
        <f aca="false">IF(AND(Visite!A43&lt;&gt;"",Visite!E43&lt;&gt;"Completata",Visite!E43&lt;&gt;"Annullata"),Visite!A43,"")</f>
        <v/>
      </c>
      <c r="C340" s="0" t="str">
        <f aca="false">IF(B340="","","Visita"&amp;IF(Visite!D43="",""," · "&amp;Visite!D43)&amp;IF(Visite!B43="","",IF(ISNUMBER(Visite!B43)," · ore "&amp;TEXT(Visite!B43,"hh:mm")," · "&amp;Visite!B43)))</f>
        <v/>
      </c>
      <c r="D340" s="0" t="str">
        <f aca="false">IF(B340="","",Visite!C43)</f>
        <v/>
      </c>
      <c r="E340" s="0" t="str">
        <f aca="false">IF(B340="","","Visita")</f>
        <v/>
      </c>
      <c r="F340" s="0" t="str">
        <f aca="false">""</f>
        <v/>
      </c>
    </row>
    <row r="341" customFormat="false" ht="15" hidden="false" customHeight="false" outlineLevel="0" collapsed="false">
      <c r="A341" s="0" t="str">
        <f aca="true">IF(B341="","",IF(B341&gt;=TODAY(),B341+ROW()/100000,""))</f>
        <v/>
      </c>
      <c r="B341" s="0" t="str">
        <f aca="false">IF(AND(Visite!A44&lt;&gt;"",Visite!E44&lt;&gt;"Completata",Visite!E44&lt;&gt;"Annullata"),Visite!A44,"")</f>
        <v/>
      </c>
      <c r="C341" s="0" t="str">
        <f aca="false">IF(B341="","","Visita"&amp;IF(Visite!D44="",""," · "&amp;Visite!D44)&amp;IF(Visite!B44="","",IF(ISNUMBER(Visite!B44)," · ore "&amp;TEXT(Visite!B44,"hh:mm")," · "&amp;Visite!B44)))</f>
        <v/>
      </c>
      <c r="D341" s="0" t="str">
        <f aca="false">IF(B341="","",Visite!C44)</f>
        <v/>
      </c>
      <c r="E341" s="0" t="str">
        <f aca="false">IF(B341="","","Visita")</f>
        <v/>
      </c>
      <c r="F341" s="0" t="str">
        <f aca="false">""</f>
        <v/>
      </c>
    </row>
    <row r="342" customFormat="false" ht="15" hidden="false" customHeight="false" outlineLevel="0" collapsed="false">
      <c r="A342" s="0" t="str">
        <f aca="true">IF(B342="","",IF(B342&gt;=TODAY(),B342+ROW()/100000,""))</f>
        <v/>
      </c>
      <c r="B342" s="0" t="str">
        <f aca="false">IF(AND(Visite!A45&lt;&gt;"",Visite!E45&lt;&gt;"Completata",Visite!E45&lt;&gt;"Annullata"),Visite!A45,"")</f>
        <v/>
      </c>
      <c r="C342" s="0" t="str">
        <f aca="false">IF(B342="","","Visita"&amp;IF(Visite!D45="",""," · "&amp;Visite!D45)&amp;IF(Visite!B45="","",IF(ISNUMBER(Visite!B45)," · ore "&amp;TEXT(Visite!B45,"hh:mm")," · "&amp;Visite!B45)))</f>
        <v/>
      </c>
      <c r="D342" s="0" t="str">
        <f aca="false">IF(B342="","",Visite!C45)</f>
        <v/>
      </c>
      <c r="E342" s="0" t="str">
        <f aca="false">IF(B342="","","Visita")</f>
        <v/>
      </c>
      <c r="F342" s="0" t="str">
        <f aca="false">""</f>
        <v/>
      </c>
    </row>
    <row r="343" customFormat="false" ht="15" hidden="false" customHeight="false" outlineLevel="0" collapsed="false">
      <c r="A343" s="0" t="str">
        <f aca="true">IF(B343="","",IF(B343&gt;=TODAY(),B343+ROW()/100000,""))</f>
        <v/>
      </c>
      <c r="B343" s="0" t="str">
        <f aca="false">IF(AND(Visite!A46&lt;&gt;"",Visite!E46&lt;&gt;"Completata",Visite!E46&lt;&gt;"Annullata"),Visite!A46,"")</f>
        <v/>
      </c>
      <c r="C343" s="0" t="str">
        <f aca="false">IF(B343="","","Visita"&amp;IF(Visite!D46="",""," · "&amp;Visite!D46)&amp;IF(Visite!B46="","",IF(ISNUMBER(Visite!B46)," · ore "&amp;TEXT(Visite!B46,"hh:mm")," · "&amp;Visite!B46)))</f>
        <v/>
      </c>
      <c r="D343" s="0" t="str">
        <f aca="false">IF(B343="","",Visite!C46)</f>
        <v/>
      </c>
      <c r="E343" s="0" t="str">
        <f aca="false">IF(B343="","","Visita")</f>
        <v/>
      </c>
      <c r="F343" s="0" t="str">
        <f aca="false">""</f>
        <v/>
      </c>
    </row>
    <row r="344" customFormat="false" ht="15" hidden="false" customHeight="false" outlineLevel="0" collapsed="false">
      <c r="A344" s="0" t="str">
        <f aca="true">IF(B344="","",IF(B344&gt;=TODAY(),B344+ROW()/100000,""))</f>
        <v/>
      </c>
      <c r="B344" s="0" t="str">
        <f aca="false">IF(AND(Visite!A47&lt;&gt;"",Visite!E47&lt;&gt;"Completata",Visite!E47&lt;&gt;"Annullata"),Visite!A47,"")</f>
        <v/>
      </c>
      <c r="C344" s="0" t="str">
        <f aca="false">IF(B344="","","Visita"&amp;IF(Visite!D47="",""," · "&amp;Visite!D47)&amp;IF(Visite!B47="","",IF(ISNUMBER(Visite!B47)," · ore "&amp;TEXT(Visite!B47,"hh:mm")," · "&amp;Visite!B47)))</f>
        <v/>
      </c>
      <c r="D344" s="0" t="str">
        <f aca="false">IF(B344="","",Visite!C47)</f>
        <v/>
      </c>
      <c r="E344" s="0" t="str">
        <f aca="false">IF(B344="","","Visita")</f>
        <v/>
      </c>
      <c r="F344" s="0" t="str">
        <f aca="false">""</f>
        <v/>
      </c>
    </row>
    <row r="345" customFormat="false" ht="15" hidden="false" customHeight="false" outlineLevel="0" collapsed="false">
      <c r="A345" s="0" t="str">
        <f aca="true">IF(B345="","",IF(B345&gt;=TODAY(),B345+ROW()/100000,""))</f>
        <v/>
      </c>
      <c r="B345" s="0" t="str">
        <f aca="false">IF(AND(Visite!A48&lt;&gt;"",Visite!E48&lt;&gt;"Completata",Visite!E48&lt;&gt;"Annullata"),Visite!A48,"")</f>
        <v/>
      </c>
      <c r="C345" s="0" t="str">
        <f aca="false">IF(B345="","","Visita"&amp;IF(Visite!D48="",""," · "&amp;Visite!D48)&amp;IF(Visite!B48="","",IF(ISNUMBER(Visite!B48)," · ore "&amp;TEXT(Visite!B48,"hh:mm")," · "&amp;Visite!B48)))</f>
        <v/>
      </c>
      <c r="D345" s="0" t="str">
        <f aca="false">IF(B345="","",Visite!C48)</f>
        <v/>
      </c>
      <c r="E345" s="0" t="str">
        <f aca="false">IF(B345="","","Visita")</f>
        <v/>
      </c>
      <c r="F345" s="0" t="str">
        <f aca="false">""</f>
        <v/>
      </c>
    </row>
    <row r="346" customFormat="false" ht="15" hidden="false" customHeight="false" outlineLevel="0" collapsed="false">
      <c r="A346" s="0" t="str">
        <f aca="true">IF(B346="","",IF(B346&gt;=TODAY(),B346+ROW()/100000,""))</f>
        <v/>
      </c>
      <c r="B346" s="0" t="str">
        <f aca="false">IF(AND(Visite!A49&lt;&gt;"",Visite!E49&lt;&gt;"Completata",Visite!E49&lt;&gt;"Annullata"),Visite!A49,"")</f>
        <v/>
      </c>
      <c r="C346" s="0" t="str">
        <f aca="false">IF(B346="","","Visita"&amp;IF(Visite!D49="",""," · "&amp;Visite!D49)&amp;IF(Visite!B49="","",IF(ISNUMBER(Visite!B49)," · ore "&amp;TEXT(Visite!B49,"hh:mm")," · "&amp;Visite!B49)))</f>
        <v/>
      </c>
      <c r="D346" s="0" t="str">
        <f aca="false">IF(B346="","",Visite!C49)</f>
        <v/>
      </c>
      <c r="E346" s="0" t="str">
        <f aca="false">IF(B346="","","Visita")</f>
        <v/>
      </c>
      <c r="F346" s="0" t="str">
        <f aca="false">""</f>
        <v/>
      </c>
    </row>
    <row r="347" customFormat="false" ht="15" hidden="false" customHeight="false" outlineLevel="0" collapsed="false">
      <c r="A347" s="0" t="str">
        <f aca="true">IF(B347="","",IF(B347&gt;=TODAY(),B347+ROW()/100000,""))</f>
        <v/>
      </c>
      <c r="B347" s="0" t="str">
        <f aca="false">IF(AND(Visite!A50&lt;&gt;"",Visite!E50&lt;&gt;"Completata",Visite!E50&lt;&gt;"Annullata"),Visite!A50,"")</f>
        <v/>
      </c>
      <c r="C347" s="0" t="str">
        <f aca="false">IF(B347="","","Visita"&amp;IF(Visite!D50="",""," · "&amp;Visite!D50)&amp;IF(Visite!B50="","",IF(ISNUMBER(Visite!B50)," · ore "&amp;TEXT(Visite!B50,"hh:mm")," · "&amp;Visite!B50)))</f>
        <v/>
      </c>
      <c r="D347" s="0" t="str">
        <f aca="false">IF(B347="","",Visite!C50)</f>
        <v/>
      </c>
      <c r="E347" s="0" t="str">
        <f aca="false">IF(B347="","","Visita")</f>
        <v/>
      </c>
      <c r="F347" s="0" t="str">
        <f aca="false">""</f>
        <v/>
      </c>
    </row>
    <row r="348" customFormat="false" ht="15" hidden="false" customHeight="false" outlineLevel="0" collapsed="false">
      <c r="A348" s="0" t="str">
        <f aca="true">IF(B348="","",IF(B348&gt;=TODAY(),B348+ROW()/100000,""))</f>
        <v/>
      </c>
      <c r="B348" s="0" t="str">
        <f aca="false">IF(AND(Visite!A51&lt;&gt;"",Visite!E51&lt;&gt;"Completata",Visite!E51&lt;&gt;"Annullata"),Visite!A51,"")</f>
        <v/>
      </c>
      <c r="C348" s="0" t="str">
        <f aca="false">IF(B348="","","Visita"&amp;IF(Visite!D51="",""," · "&amp;Visite!D51)&amp;IF(Visite!B51="","",IF(ISNUMBER(Visite!B51)," · ore "&amp;TEXT(Visite!B51,"hh:mm")," · "&amp;Visite!B51)))</f>
        <v/>
      </c>
      <c r="D348" s="0" t="str">
        <f aca="false">IF(B348="","",Visite!C51)</f>
        <v/>
      </c>
      <c r="E348" s="0" t="str">
        <f aca="false">IF(B348="","","Visita")</f>
        <v/>
      </c>
      <c r="F348" s="0" t="str">
        <f aca="false">""</f>
        <v/>
      </c>
    </row>
    <row r="349" customFormat="false" ht="15" hidden="false" customHeight="false" outlineLevel="0" collapsed="false">
      <c r="A349" s="0" t="str">
        <f aca="true">IF(B349="","",IF(B349&gt;=TODAY(),B349+ROW()/100000,""))</f>
        <v/>
      </c>
      <c r="B349" s="0" t="str">
        <f aca="false">IF(AND(Visite!A52&lt;&gt;"",Visite!E52&lt;&gt;"Completata",Visite!E52&lt;&gt;"Annullata"),Visite!A52,"")</f>
        <v/>
      </c>
      <c r="C349" s="0" t="str">
        <f aca="false">IF(B349="","","Visita"&amp;IF(Visite!D52="",""," · "&amp;Visite!D52)&amp;IF(Visite!B52="","",IF(ISNUMBER(Visite!B52)," · ore "&amp;TEXT(Visite!B52,"hh:mm")," · "&amp;Visite!B52)))</f>
        <v/>
      </c>
      <c r="D349" s="0" t="str">
        <f aca="false">IF(B349="","",Visite!C52)</f>
        <v/>
      </c>
      <c r="E349" s="0" t="str">
        <f aca="false">IF(B349="","","Visita")</f>
        <v/>
      </c>
      <c r="F349" s="0" t="str">
        <f aca="false">""</f>
        <v/>
      </c>
    </row>
    <row r="350" customFormat="false" ht="15" hidden="false" customHeight="false" outlineLevel="0" collapsed="false">
      <c r="A350" s="0" t="str">
        <f aca="true">IF(B350="","",IF(B350&gt;=TODAY(),B350+ROW()/100000,""))</f>
        <v/>
      </c>
      <c r="B350" s="0" t="str">
        <f aca="false">IF(AND(Visite!A53&lt;&gt;"",Visite!E53&lt;&gt;"Completata",Visite!E53&lt;&gt;"Annullata"),Visite!A53,"")</f>
        <v/>
      </c>
      <c r="C350" s="0" t="str">
        <f aca="false">IF(B350="","","Visita"&amp;IF(Visite!D53="",""," · "&amp;Visite!D53)&amp;IF(Visite!B53="","",IF(ISNUMBER(Visite!B53)," · ore "&amp;TEXT(Visite!B53,"hh:mm")," · "&amp;Visite!B53)))</f>
        <v/>
      </c>
      <c r="D350" s="0" t="str">
        <f aca="false">IF(B350="","",Visite!C53)</f>
        <v/>
      </c>
      <c r="E350" s="0" t="str">
        <f aca="false">IF(B350="","","Visita")</f>
        <v/>
      </c>
      <c r="F350" s="0" t="str">
        <f aca="false">""</f>
        <v/>
      </c>
    </row>
    <row r="351" customFormat="false" ht="15" hidden="false" customHeight="false" outlineLevel="0" collapsed="false">
      <c r="A351" s="0" t="str">
        <f aca="true">IF(B351="","",IF(B351&gt;=TODAY(),B351+ROW()/100000,""))</f>
        <v/>
      </c>
      <c r="B351" s="0" t="str">
        <f aca="false">IF(AND(Visite!A54&lt;&gt;"",Visite!E54&lt;&gt;"Completata",Visite!E54&lt;&gt;"Annullata"),Visite!A54,"")</f>
        <v/>
      </c>
      <c r="C351" s="0" t="str">
        <f aca="false">IF(B351="","","Visita"&amp;IF(Visite!D54="",""," · "&amp;Visite!D54)&amp;IF(Visite!B54="","",IF(ISNUMBER(Visite!B54)," · ore "&amp;TEXT(Visite!B54,"hh:mm")," · "&amp;Visite!B54)))</f>
        <v/>
      </c>
      <c r="D351" s="0" t="str">
        <f aca="false">IF(B351="","",Visite!C54)</f>
        <v/>
      </c>
      <c r="E351" s="0" t="str">
        <f aca="false">IF(B351="","","Visita")</f>
        <v/>
      </c>
      <c r="F351" s="0" t="str">
        <f aca="false">""</f>
        <v/>
      </c>
    </row>
    <row r="352" customFormat="false" ht="15" hidden="false" customHeight="false" outlineLevel="0" collapsed="false">
      <c r="A352" s="0" t="str">
        <f aca="true">IF(B352="","",IF(B352&gt;=TODAY(),B352+ROW()/100000,""))</f>
        <v/>
      </c>
      <c r="B352" s="0" t="str">
        <f aca="false">IF(AND(Visite!A55&lt;&gt;"",Visite!E55&lt;&gt;"Completata",Visite!E55&lt;&gt;"Annullata"),Visite!A55,"")</f>
        <v/>
      </c>
      <c r="C352" s="0" t="str">
        <f aca="false">IF(B352="","","Visita"&amp;IF(Visite!D55="",""," · "&amp;Visite!D55)&amp;IF(Visite!B55="","",IF(ISNUMBER(Visite!B55)," · ore "&amp;TEXT(Visite!B55,"hh:mm")," · "&amp;Visite!B55)))</f>
        <v/>
      </c>
      <c r="D352" s="0" t="str">
        <f aca="false">IF(B352="","",Visite!C55)</f>
        <v/>
      </c>
      <c r="E352" s="0" t="str">
        <f aca="false">IF(B352="","","Visita")</f>
        <v/>
      </c>
      <c r="F352" s="0" t="str">
        <f aca="false">""</f>
        <v/>
      </c>
    </row>
    <row r="353" customFormat="false" ht="15" hidden="false" customHeight="false" outlineLevel="0" collapsed="false">
      <c r="A353" s="0" t="str">
        <f aca="true">IF(B353="","",IF(B353&gt;=TODAY(),B353+ROW()/100000,""))</f>
        <v/>
      </c>
      <c r="B353" s="0" t="str">
        <f aca="false">IF(AND(Visite!A56&lt;&gt;"",Visite!E56&lt;&gt;"Completata",Visite!E56&lt;&gt;"Annullata"),Visite!A56,"")</f>
        <v/>
      </c>
      <c r="C353" s="0" t="str">
        <f aca="false">IF(B353="","","Visita"&amp;IF(Visite!D56="",""," · "&amp;Visite!D56)&amp;IF(Visite!B56="","",IF(ISNUMBER(Visite!B56)," · ore "&amp;TEXT(Visite!B56,"hh:mm")," · "&amp;Visite!B56)))</f>
        <v/>
      </c>
      <c r="D353" s="0" t="str">
        <f aca="false">IF(B353="","",Visite!C56)</f>
        <v/>
      </c>
      <c r="E353" s="0" t="str">
        <f aca="false">IF(B353="","","Visita")</f>
        <v/>
      </c>
      <c r="F353" s="0" t="str">
        <f aca="false">""</f>
        <v/>
      </c>
    </row>
    <row r="354" customFormat="false" ht="15" hidden="false" customHeight="false" outlineLevel="0" collapsed="false">
      <c r="A354" s="0" t="str">
        <f aca="true">IF(B354="","",IF(B354&gt;=TODAY(),B354+ROW()/100000,""))</f>
        <v/>
      </c>
      <c r="B354" s="0" t="str">
        <f aca="false">IF(AND(Visite!A57&lt;&gt;"",Visite!E57&lt;&gt;"Completata",Visite!E57&lt;&gt;"Annullata"),Visite!A57,"")</f>
        <v/>
      </c>
      <c r="C354" s="0" t="str">
        <f aca="false">IF(B354="","","Visita"&amp;IF(Visite!D57="",""," · "&amp;Visite!D57)&amp;IF(Visite!B57="","",IF(ISNUMBER(Visite!B57)," · ore "&amp;TEXT(Visite!B57,"hh:mm")," · "&amp;Visite!B57)))</f>
        <v/>
      </c>
      <c r="D354" s="0" t="str">
        <f aca="false">IF(B354="","",Visite!C57)</f>
        <v/>
      </c>
      <c r="E354" s="0" t="str">
        <f aca="false">IF(B354="","","Visita")</f>
        <v/>
      </c>
      <c r="F354" s="0" t="str">
        <f aca="false">""</f>
        <v/>
      </c>
    </row>
    <row r="355" customFormat="false" ht="15" hidden="false" customHeight="false" outlineLevel="0" collapsed="false">
      <c r="A355" s="0" t="str">
        <f aca="true">IF(B355="","",IF(B355&gt;=TODAY(),B355+ROW()/100000,""))</f>
        <v/>
      </c>
      <c r="B355" s="0" t="str">
        <f aca="false">IF(AND(Visite!A58&lt;&gt;"",Visite!E58&lt;&gt;"Completata",Visite!E58&lt;&gt;"Annullata"),Visite!A58,"")</f>
        <v/>
      </c>
      <c r="C355" s="0" t="str">
        <f aca="false">IF(B355="","","Visita"&amp;IF(Visite!D58="",""," · "&amp;Visite!D58)&amp;IF(Visite!B58="","",IF(ISNUMBER(Visite!B58)," · ore "&amp;TEXT(Visite!B58,"hh:mm")," · "&amp;Visite!B58)))</f>
        <v/>
      </c>
      <c r="D355" s="0" t="str">
        <f aca="false">IF(B355="","",Visite!C58)</f>
        <v/>
      </c>
      <c r="E355" s="0" t="str">
        <f aca="false">IF(B355="","","Visita")</f>
        <v/>
      </c>
      <c r="F355" s="0" t="str">
        <f aca="false">""</f>
        <v/>
      </c>
    </row>
    <row r="356" customFormat="false" ht="15" hidden="false" customHeight="false" outlineLevel="0" collapsed="false">
      <c r="A356" s="0" t="str">
        <f aca="true">IF(B356="","",IF(B356&gt;=TODAY(),B356+ROW()/100000,""))</f>
        <v/>
      </c>
      <c r="B356" s="0" t="str">
        <f aca="false">IF(AND(Visite!A59&lt;&gt;"",Visite!E59&lt;&gt;"Completata",Visite!E59&lt;&gt;"Annullata"),Visite!A59,"")</f>
        <v/>
      </c>
      <c r="C356" s="0" t="str">
        <f aca="false">IF(B356="","","Visita"&amp;IF(Visite!D59="",""," · "&amp;Visite!D59)&amp;IF(Visite!B59="","",IF(ISNUMBER(Visite!B59)," · ore "&amp;TEXT(Visite!B59,"hh:mm")," · "&amp;Visite!B59)))</f>
        <v/>
      </c>
      <c r="D356" s="0" t="str">
        <f aca="false">IF(B356="","",Visite!C59)</f>
        <v/>
      </c>
      <c r="E356" s="0" t="str">
        <f aca="false">IF(B356="","","Visita")</f>
        <v/>
      </c>
      <c r="F356" s="0" t="str">
        <f aca="false">""</f>
        <v/>
      </c>
    </row>
    <row r="357" customFormat="false" ht="15" hidden="false" customHeight="false" outlineLevel="0" collapsed="false">
      <c r="A357" s="0" t="str">
        <f aca="true">IF(B357="","",IF(B357&gt;=TODAY(),B357+ROW()/100000,""))</f>
        <v/>
      </c>
      <c r="B357" s="0" t="str">
        <f aca="false">IF(AND(Visite!A60&lt;&gt;"",Visite!E60&lt;&gt;"Completata",Visite!E60&lt;&gt;"Annullata"),Visite!A60,"")</f>
        <v/>
      </c>
      <c r="C357" s="0" t="str">
        <f aca="false">IF(B357="","","Visita"&amp;IF(Visite!D60="",""," · "&amp;Visite!D60)&amp;IF(Visite!B60="","",IF(ISNUMBER(Visite!B60)," · ore "&amp;TEXT(Visite!B60,"hh:mm")," · "&amp;Visite!B60)))</f>
        <v/>
      </c>
      <c r="D357" s="0" t="str">
        <f aca="false">IF(B357="","",Visite!C60)</f>
        <v/>
      </c>
      <c r="E357" s="0" t="str">
        <f aca="false">IF(B357="","","Visita")</f>
        <v/>
      </c>
      <c r="F357" s="0" t="str">
        <f aca="false">""</f>
        <v/>
      </c>
    </row>
    <row r="358" customFormat="false" ht="15" hidden="false" customHeight="false" outlineLevel="0" collapsed="false">
      <c r="A358" s="0" t="str">
        <f aca="true">IF(B358="","",IF(B358&gt;=TODAY(),B358+ROW()/100000,""))</f>
        <v/>
      </c>
      <c r="B358" s="0" t="str">
        <f aca="false">IF(AND(Visite!A61&lt;&gt;"",Visite!E61&lt;&gt;"Completata",Visite!E61&lt;&gt;"Annullata"),Visite!A61,"")</f>
        <v/>
      </c>
      <c r="C358" s="0" t="str">
        <f aca="false">IF(B358="","","Visita"&amp;IF(Visite!D61="",""," · "&amp;Visite!D61)&amp;IF(Visite!B61="","",IF(ISNUMBER(Visite!B61)," · ore "&amp;TEXT(Visite!B61,"hh:mm")," · "&amp;Visite!B61)))</f>
        <v/>
      </c>
      <c r="D358" s="0" t="str">
        <f aca="false">IF(B358="","",Visite!C61)</f>
        <v/>
      </c>
      <c r="E358" s="0" t="str">
        <f aca="false">IF(B358="","","Visita")</f>
        <v/>
      </c>
      <c r="F358" s="0" t="str">
        <f aca="false">""</f>
        <v/>
      </c>
    </row>
    <row r="359" customFormat="false" ht="15" hidden="false" customHeight="false" outlineLevel="0" collapsed="false">
      <c r="A359" s="0" t="str">
        <f aca="true">IF(B359="","",IF(B359&gt;=TODAY(),B359+ROW()/100000,""))</f>
        <v/>
      </c>
      <c r="B359" s="0" t="str">
        <f aca="false">IF(AND(Visite!A62&lt;&gt;"",Visite!E62&lt;&gt;"Completata",Visite!E62&lt;&gt;"Annullata"),Visite!A62,"")</f>
        <v/>
      </c>
      <c r="C359" s="0" t="str">
        <f aca="false">IF(B359="","","Visita"&amp;IF(Visite!D62="",""," · "&amp;Visite!D62)&amp;IF(Visite!B62="","",IF(ISNUMBER(Visite!B62)," · ore "&amp;TEXT(Visite!B62,"hh:mm")," · "&amp;Visite!B62)))</f>
        <v/>
      </c>
      <c r="D359" s="0" t="str">
        <f aca="false">IF(B359="","",Visite!C62)</f>
        <v/>
      </c>
      <c r="E359" s="0" t="str">
        <f aca="false">IF(B359="","","Visita")</f>
        <v/>
      </c>
      <c r="F359" s="0" t="str">
        <f aca="false">""</f>
        <v/>
      </c>
    </row>
    <row r="360" customFormat="false" ht="15" hidden="false" customHeight="false" outlineLevel="0" collapsed="false">
      <c r="A360" s="0" t="str">
        <f aca="true">IF(B360="","",IF(B360&gt;=TODAY(),B360+ROW()/100000,""))</f>
        <v/>
      </c>
      <c r="B360" s="0" t="str">
        <f aca="false">IF(AND(Visite!A63&lt;&gt;"",Visite!E63&lt;&gt;"Completata",Visite!E63&lt;&gt;"Annullata"),Visite!A63,"")</f>
        <v/>
      </c>
      <c r="C360" s="0" t="str">
        <f aca="false">IF(B360="","","Visita"&amp;IF(Visite!D63="",""," · "&amp;Visite!D63)&amp;IF(Visite!B63="","",IF(ISNUMBER(Visite!B63)," · ore "&amp;TEXT(Visite!B63,"hh:mm")," · "&amp;Visite!B63)))</f>
        <v/>
      </c>
      <c r="D360" s="0" t="str">
        <f aca="false">IF(B360="","",Visite!C63)</f>
        <v/>
      </c>
      <c r="E360" s="0" t="str">
        <f aca="false">IF(B360="","","Visita")</f>
        <v/>
      </c>
      <c r="F360" s="0" t="str">
        <f aca="false">""</f>
        <v/>
      </c>
    </row>
    <row r="361" customFormat="false" ht="15" hidden="false" customHeight="false" outlineLevel="0" collapsed="false">
      <c r="A361" s="0" t="str">
        <f aca="true">IF(B361="","",IF(B361&gt;=TODAY(),B361+ROW()/100000,""))</f>
        <v/>
      </c>
      <c r="B361" s="0" t="str">
        <f aca="false">IF(AND(Visite!A64&lt;&gt;"",Visite!E64&lt;&gt;"Completata",Visite!E64&lt;&gt;"Annullata"),Visite!A64,"")</f>
        <v/>
      </c>
      <c r="C361" s="0" t="str">
        <f aca="false">IF(B361="","","Visita"&amp;IF(Visite!D64="",""," · "&amp;Visite!D64)&amp;IF(Visite!B64="","",IF(ISNUMBER(Visite!B64)," · ore "&amp;TEXT(Visite!B64,"hh:mm")," · "&amp;Visite!B64)))</f>
        <v/>
      </c>
      <c r="D361" s="0" t="str">
        <f aca="false">IF(B361="","",Visite!C64)</f>
        <v/>
      </c>
      <c r="E361" s="0" t="str">
        <f aca="false">IF(B361="","","Visita")</f>
        <v/>
      </c>
      <c r="F361" s="0" t="str">
        <f aca="false">""</f>
        <v/>
      </c>
    </row>
    <row r="362" customFormat="false" ht="15" hidden="false" customHeight="false" outlineLevel="0" collapsed="false">
      <c r="A362" s="0" t="str">
        <f aca="true">IF(B362="","",IF(B362&gt;=TODAY(),B362+ROW()/100000,""))</f>
        <v/>
      </c>
      <c r="B362" s="0" t="str">
        <f aca="false">IF(AND(Visite!A65&lt;&gt;"",Visite!E65&lt;&gt;"Completata",Visite!E65&lt;&gt;"Annullata"),Visite!A65,"")</f>
        <v/>
      </c>
      <c r="C362" s="0" t="str">
        <f aca="false">IF(B362="","","Visita"&amp;IF(Visite!D65="",""," · "&amp;Visite!D65)&amp;IF(Visite!B65="","",IF(ISNUMBER(Visite!B65)," · ore "&amp;TEXT(Visite!B65,"hh:mm")," · "&amp;Visite!B65)))</f>
        <v/>
      </c>
      <c r="D362" s="0" t="str">
        <f aca="false">IF(B362="","",Visite!C65)</f>
        <v/>
      </c>
      <c r="E362" s="0" t="str">
        <f aca="false">IF(B362="","","Visita")</f>
        <v/>
      </c>
      <c r="F362" s="0" t="str">
        <f aca="false">""</f>
        <v/>
      </c>
    </row>
    <row r="363" customFormat="false" ht="15" hidden="false" customHeight="false" outlineLevel="0" collapsed="false">
      <c r="A363" s="0" t="str">
        <f aca="true">IF(B363="","",IF(B363&gt;=TODAY(),B363+ROW()/100000,""))</f>
        <v/>
      </c>
      <c r="B363" s="0" t="str">
        <f aca="false">IF(AND(Visite!A66&lt;&gt;"",Visite!E66&lt;&gt;"Completata",Visite!E66&lt;&gt;"Annullata"),Visite!A66,"")</f>
        <v/>
      </c>
      <c r="C363" s="0" t="str">
        <f aca="false">IF(B363="","","Visita"&amp;IF(Visite!D66="",""," · "&amp;Visite!D66)&amp;IF(Visite!B66="","",IF(ISNUMBER(Visite!B66)," · ore "&amp;TEXT(Visite!B66,"hh:mm")," · "&amp;Visite!B66)))</f>
        <v/>
      </c>
      <c r="D363" s="0" t="str">
        <f aca="false">IF(B363="","",Visite!C66)</f>
        <v/>
      </c>
      <c r="E363" s="0" t="str">
        <f aca="false">IF(B363="","","Visita")</f>
        <v/>
      </c>
      <c r="F363" s="0" t="str">
        <f aca="false">""</f>
        <v/>
      </c>
    </row>
    <row r="364" customFormat="false" ht="15" hidden="false" customHeight="false" outlineLevel="0" collapsed="false">
      <c r="A364" s="0" t="str">
        <f aca="true">IF(B364="","",IF(B364&gt;=TODAY(),B364+ROW()/100000,""))</f>
        <v/>
      </c>
      <c r="B364" s="0" t="str">
        <f aca="false">IF(AND(Visite!A67&lt;&gt;"",Visite!E67&lt;&gt;"Completata",Visite!E67&lt;&gt;"Annullata"),Visite!A67,"")</f>
        <v/>
      </c>
      <c r="C364" s="0" t="str">
        <f aca="false">IF(B364="","","Visita"&amp;IF(Visite!D67="",""," · "&amp;Visite!D67)&amp;IF(Visite!B67="","",IF(ISNUMBER(Visite!B67)," · ore "&amp;TEXT(Visite!B67,"hh:mm")," · "&amp;Visite!B67)))</f>
        <v/>
      </c>
      <c r="D364" s="0" t="str">
        <f aca="false">IF(B364="","",Visite!C67)</f>
        <v/>
      </c>
      <c r="E364" s="0" t="str">
        <f aca="false">IF(B364="","","Visita")</f>
        <v/>
      </c>
      <c r="F364" s="0" t="str">
        <f aca="false">""</f>
        <v/>
      </c>
    </row>
    <row r="365" customFormat="false" ht="15" hidden="false" customHeight="false" outlineLevel="0" collapsed="false">
      <c r="A365" s="0" t="str">
        <f aca="true">IF(B365="","",IF(B365&gt;=TODAY(),B365+ROW()/100000,""))</f>
        <v/>
      </c>
      <c r="B365" s="0" t="str">
        <f aca="false">IF(AND(Visite!A68&lt;&gt;"",Visite!E68&lt;&gt;"Completata",Visite!E68&lt;&gt;"Annullata"),Visite!A68,"")</f>
        <v/>
      </c>
      <c r="C365" s="0" t="str">
        <f aca="false">IF(B365="","","Visita"&amp;IF(Visite!D68="",""," · "&amp;Visite!D68)&amp;IF(Visite!B68="","",IF(ISNUMBER(Visite!B68)," · ore "&amp;TEXT(Visite!B68,"hh:mm")," · "&amp;Visite!B68)))</f>
        <v/>
      </c>
      <c r="D365" s="0" t="str">
        <f aca="false">IF(B365="","",Visite!C68)</f>
        <v/>
      </c>
      <c r="E365" s="0" t="str">
        <f aca="false">IF(B365="","","Visita")</f>
        <v/>
      </c>
      <c r="F365" s="0" t="str">
        <f aca="false">""</f>
        <v/>
      </c>
    </row>
    <row r="366" customFormat="false" ht="15" hidden="false" customHeight="false" outlineLevel="0" collapsed="false">
      <c r="A366" s="0" t="str">
        <f aca="true">IF(B366="","",IF(B366&gt;=TODAY(),B366+ROW()/100000,""))</f>
        <v/>
      </c>
      <c r="B366" s="0" t="str">
        <f aca="false">IF(AND(Visite!A69&lt;&gt;"",Visite!E69&lt;&gt;"Completata",Visite!E69&lt;&gt;"Annullata"),Visite!A69,"")</f>
        <v/>
      </c>
      <c r="C366" s="0" t="str">
        <f aca="false">IF(B366="","","Visita"&amp;IF(Visite!D69="",""," · "&amp;Visite!D69)&amp;IF(Visite!B69="","",IF(ISNUMBER(Visite!B69)," · ore "&amp;TEXT(Visite!B69,"hh:mm")," · "&amp;Visite!B69)))</f>
        <v/>
      </c>
      <c r="D366" s="0" t="str">
        <f aca="false">IF(B366="","",Visite!C69)</f>
        <v/>
      </c>
      <c r="E366" s="0" t="str">
        <f aca="false">IF(B366="","","Visita")</f>
        <v/>
      </c>
      <c r="F366" s="0" t="str">
        <f aca="false">""</f>
        <v/>
      </c>
    </row>
    <row r="367" customFormat="false" ht="15" hidden="false" customHeight="false" outlineLevel="0" collapsed="false">
      <c r="A367" s="0" t="str">
        <f aca="true">IF(B367="","",IF(B367&gt;=TODAY(),B367+ROW()/100000,""))</f>
        <v/>
      </c>
      <c r="B367" s="0" t="str">
        <f aca="false">IF(AND(Visite!A70&lt;&gt;"",Visite!E70&lt;&gt;"Completata",Visite!E70&lt;&gt;"Annullata"),Visite!A70,"")</f>
        <v/>
      </c>
      <c r="C367" s="0" t="str">
        <f aca="false">IF(B367="","","Visita"&amp;IF(Visite!D70="",""," · "&amp;Visite!D70)&amp;IF(Visite!B70="","",IF(ISNUMBER(Visite!B70)," · ore "&amp;TEXT(Visite!B70,"hh:mm")," · "&amp;Visite!B70)))</f>
        <v/>
      </c>
      <c r="D367" s="0" t="str">
        <f aca="false">IF(B367="","",Visite!C70)</f>
        <v/>
      </c>
      <c r="E367" s="0" t="str">
        <f aca="false">IF(B367="","","Visita")</f>
        <v/>
      </c>
      <c r="F367" s="0" t="str">
        <f aca="false">""</f>
        <v/>
      </c>
    </row>
    <row r="368" customFormat="false" ht="15" hidden="false" customHeight="false" outlineLevel="0" collapsed="false">
      <c r="A368" s="0" t="str">
        <f aca="true">IF(B368="","",IF(B368&gt;=TODAY(),B368+ROW()/100000,""))</f>
        <v/>
      </c>
      <c r="B368" s="0" t="str">
        <f aca="false">IF(AND(Visite!A71&lt;&gt;"",Visite!E71&lt;&gt;"Completata",Visite!E71&lt;&gt;"Annullata"),Visite!A71,"")</f>
        <v/>
      </c>
      <c r="C368" s="0" t="str">
        <f aca="false">IF(B368="","","Visita"&amp;IF(Visite!D71="",""," · "&amp;Visite!D71)&amp;IF(Visite!B71="","",IF(ISNUMBER(Visite!B71)," · ore "&amp;TEXT(Visite!B71,"hh:mm")," · "&amp;Visite!B71)))</f>
        <v/>
      </c>
      <c r="D368" s="0" t="str">
        <f aca="false">IF(B368="","",Visite!C71)</f>
        <v/>
      </c>
      <c r="E368" s="0" t="str">
        <f aca="false">IF(B368="","","Visita")</f>
        <v/>
      </c>
      <c r="F368" s="0" t="str">
        <f aca="false">""</f>
        <v/>
      </c>
    </row>
    <row r="369" customFormat="false" ht="15" hidden="false" customHeight="false" outlineLevel="0" collapsed="false">
      <c r="A369" s="0" t="str">
        <f aca="true">IF(B369="","",IF(B369&gt;=TODAY(),B369+ROW()/100000,""))</f>
        <v/>
      </c>
      <c r="B369" s="0" t="str">
        <f aca="false">IF(AND(Visite!A72&lt;&gt;"",Visite!E72&lt;&gt;"Completata",Visite!E72&lt;&gt;"Annullata"),Visite!A72,"")</f>
        <v/>
      </c>
      <c r="C369" s="0" t="str">
        <f aca="false">IF(B369="","","Visita"&amp;IF(Visite!D72="",""," · "&amp;Visite!D72)&amp;IF(Visite!B72="","",IF(ISNUMBER(Visite!B72)," · ore "&amp;TEXT(Visite!B72,"hh:mm")," · "&amp;Visite!B72)))</f>
        <v/>
      </c>
      <c r="D369" s="0" t="str">
        <f aca="false">IF(B369="","",Visite!C72)</f>
        <v/>
      </c>
      <c r="E369" s="0" t="str">
        <f aca="false">IF(B369="","","Visita")</f>
        <v/>
      </c>
      <c r="F369" s="0" t="str">
        <f aca="false">""</f>
        <v/>
      </c>
    </row>
    <row r="370" customFormat="false" ht="15" hidden="false" customHeight="false" outlineLevel="0" collapsed="false">
      <c r="A370" s="0" t="str">
        <f aca="true">IF(B370="","",IF(B370&gt;=TODAY(),B370+ROW()/100000,""))</f>
        <v/>
      </c>
      <c r="B370" s="0" t="str">
        <f aca="false">IF(AND(Visite!A73&lt;&gt;"",Visite!E73&lt;&gt;"Completata",Visite!E73&lt;&gt;"Annullata"),Visite!A73,"")</f>
        <v/>
      </c>
      <c r="C370" s="0" t="str">
        <f aca="false">IF(B370="","","Visita"&amp;IF(Visite!D73="",""," · "&amp;Visite!D73)&amp;IF(Visite!B73="","",IF(ISNUMBER(Visite!B73)," · ore "&amp;TEXT(Visite!B73,"hh:mm")," · "&amp;Visite!B73)))</f>
        <v/>
      </c>
      <c r="D370" s="0" t="str">
        <f aca="false">IF(B370="","",Visite!C73)</f>
        <v/>
      </c>
      <c r="E370" s="0" t="str">
        <f aca="false">IF(B370="","","Visita")</f>
        <v/>
      </c>
      <c r="F370" s="0" t="str">
        <f aca="false">""</f>
        <v/>
      </c>
    </row>
    <row r="371" customFormat="false" ht="15" hidden="false" customHeight="false" outlineLevel="0" collapsed="false">
      <c r="A371" s="0" t="str">
        <f aca="true">IF(B371="","",IF(B371&gt;=TODAY(),B371+ROW()/100000,""))</f>
        <v/>
      </c>
      <c r="B371" s="0" t="str">
        <f aca="false">IF(AND(Visite!A74&lt;&gt;"",Visite!E74&lt;&gt;"Completata",Visite!E74&lt;&gt;"Annullata"),Visite!A74,"")</f>
        <v/>
      </c>
      <c r="C371" s="0" t="str">
        <f aca="false">IF(B371="","","Visita"&amp;IF(Visite!D74="",""," · "&amp;Visite!D74)&amp;IF(Visite!B74="","",IF(ISNUMBER(Visite!B74)," · ore "&amp;TEXT(Visite!B74,"hh:mm")," · "&amp;Visite!B74)))</f>
        <v/>
      </c>
      <c r="D371" s="0" t="str">
        <f aca="false">IF(B371="","",Visite!C74)</f>
        <v/>
      </c>
      <c r="E371" s="0" t="str">
        <f aca="false">IF(B371="","","Visita")</f>
        <v/>
      </c>
      <c r="F371" s="0" t="str">
        <f aca="false">""</f>
        <v/>
      </c>
    </row>
    <row r="372" customFormat="false" ht="15" hidden="false" customHeight="false" outlineLevel="0" collapsed="false">
      <c r="A372" s="0" t="str">
        <f aca="true">IF(B372="","",IF(B372&gt;=TODAY(),B372+ROW()/100000,""))</f>
        <v/>
      </c>
      <c r="B372" s="0" t="str">
        <f aca="false">IF(AND(Visite!A75&lt;&gt;"",Visite!E75&lt;&gt;"Completata",Visite!E75&lt;&gt;"Annullata"),Visite!A75,"")</f>
        <v/>
      </c>
      <c r="C372" s="0" t="str">
        <f aca="false">IF(B372="","","Visita"&amp;IF(Visite!D75="",""," · "&amp;Visite!D75)&amp;IF(Visite!B75="","",IF(ISNUMBER(Visite!B75)," · ore "&amp;TEXT(Visite!B75,"hh:mm")," · "&amp;Visite!B75)))</f>
        <v/>
      </c>
      <c r="D372" s="0" t="str">
        <f aca="false">IF(B372="","",Visite!C75)</f>
        <v/>
      </c>
      <c r="E372" s="0" t="str">
        <f aca="false">IF(B372="","","Visita")</f>
        <v/>
      </c>
      <c r="F372" s="0" t="str">
        <f aca="false">""</f>
        <v/>
      </c>
    </row>
    <row r="373" customFormat="false" ht="15" hidden="false" customHeight="false" outlineLevel="0" collapsed="false">
      <c r="A373" s="0" t="str">
        <f aca="true">IF(B373="","",IF(B373&gt;=TODAY(),B373+ROW()/100000,""))</f>
        <v/>
      </c>
      <c r="B373" s="0" t="str">
        <f aca="false">IF(AND(Visite!A76&lt;&gt;"",Visite!E76&lt;&gt;"Completata",Visite!E76&lt;&gt;"Annullata"),Visite!A76,"")</f>
        <v/>
      </c>
      <c r="C373" s="0" t="str">
        <f aca="false">IF(B373="","","Visita"&amp;IF(Visite!D76="",""," · "&amp;Visite!D76)&amp;IF(Visite!B76="","",IF(ISNUMBER(Visite!B76)," · ore "&amp;TEXT(Visite!B76,"hh:mm")," · "&amp;Visite!B76)))</f>
        <v/>
      </c>
      <c r="D373" s="0" t="str">
        <f aca="false">IF(B373="","",Visite!C76)</f>
        <v/>
      </c>
      <c r="E373" s="0" t="str">
        <f aca="false">IF(B373="","","Visita")</f>
        <v/>
      </c>
      <c r="F373" s="0" t="str">
        <f aca="false">""</f>
        <v/>
      </c>
    </row>
    <row r="374" customFormat="false" ht="15" hidden="false" customHeight="false" outlineLevel="0" collapsed="false">
      <c r="A374" s="0" t="str">
        <f aca="true">IF(B374="","",IF(B374&gt;=TODAY(),B374+ROW()/100000,""))</f>
        <v/>
      </c>
      <c r="B374" s="0" t="str">
        <f aca="false">IF(AND(Visite!A77&lt;&gt;"",Visite!E77&lt;&gt;"Completata",Visite!E77&lt;&gt;"Annullata"),Visite!A77,"")</f>
        <v/>
      </c>
      <c r="C374" s="0" t="str">
        <f aca="false">IF(B374="","","Visita"&amp;IF(Visite!D77="",""," · "&amp;Visite!D77)&amp;IF(Visite!B77="","",IF(ISNUMBER(Visite!B77)," · ore "&amp;TEXT(Visite!B77,"hh:mm")," · "&amp;Visite!B77)))</f>
        <v/>
      </c>
      <c r="D374" s="0" t="str">
        <f aca="false">IF(B374="","",Visite!C77)</f>
        <v/>
      </c>
      <c r="E374" s="0" t="str">
        <f aca="false">IF(B374="","","Visita")</f>
        <v/>
      </c>
      <c r="F374" s="0" t="str">
        <f aca="false">""</f>
        <v/>
      </c>
    </row>
    <row r="375" customFormat="false" ht="15" hidden="false" customHeight="false" outlineLevel="0" collapsed="false">
      <c r="A375" s="0" t="str">
        <f aca="true">IF(B375="","",IF(B375&gt;=TODAY(),B375+ROW()/100000,""))</f>
        <v/>
      </c>
      <c r="B375" s="0" t="str">
        <f aca="false">IF(AND(Visite!A78&lt;&gt;"",Visite!E78&lt;&gt;"Completata",Visite!E78&lt;&gt;"Annullata"),Visite!A78,"")</f>
        <v/>
      </c>
      <c r="C375" s="0" t="str">
        <f aca="false">IF(B375="","","Visita"&amp;IF(Visite!D78="",""," · "&amp;Visite!D78)&amp;IF(Visite!B78="","",IF(ISNUMBER(Visite!B78)," · ore "&amp;TEXT(Visite!B78,"hh:mm")," · "&amp;Visite!B78)))</f>
        <v/>
      </c>
      <c r="D375" s="0" t="str">
        <f aca="false">IF(B375="","",Visite!C78)</f>
        <v/>
      </c>
      <c r="E375" s="0" t="str">
        <f aca="false">IF(B375="","","Visita")</f>
        <v/>
      </c>
      <c r="F375" s="0" t="str">
        <f aca="false">""</f>
        <v/>
      </c>
    </row>
    <row r="376" customFormat="false" ht="15" hidden="false" customHeight="false" outlineLevel="0" collapsed="false">
      <c r="A376" s="0" t="str">
        <f aca="true">IF(B376="","",IF(B376&gt;=TODAY(),B376+ROW()/100000,""))</f>
        <v/>
      </c>
      <c r="B376" s="0" t="str">
        <f aca="false">IF(AND(Visite!A79&lt;&gt;"",Visite!E79&lt;&gt;"Completata",Visite!E79&lt;&gt;"Annullata"),Visite!A79,"")</f>
        <v/>
      </c>
      <c r="C376" s="0" t="str">
        <f aca="false">IF(B376="","","Visita"&amp;IF(Visite!D79="",""," · "&amp;Visite!D79)&amp;IF(Visite!B79="","",IF(ISNUMBER(Visite!B79)," · ore "&amp;TEXT(Visite!B79,"hh:mm")," · "&amp;Visite!B79)))</f>
        <v/>
      </c>
      <c r="D376" s="0" t="str">
        <f aca="false">IF(B376="","",Visite!C79)</f>
        <v/>
      </c>
      <c r="E376" s="0" t="str">
        <f aca="false">IF(B376="","","Visita")</f>
        <v/>
      </c>
      <c r="F376" s="0" t="str">
        <f aca="false">""</f>
        <v/>
      </c>
    </row>
    <row r="377" customFormat="false" ht="15" hidden="false" customHeight="false" outlineLevel="0" collapsed="false">
      <c r="A377" s="0" t="str">
        <f aca="true">IF(B377="","",IF(B377&gt;=TODAY(),B377+ROW()/100000,""))</f>
        <v/>
      </c>
      <c r="B377" s="0" t="str">
        <f aca="false">IF(AND(Visite!A80&lt;&gt;"",Visite!E80&lt;&gt;"Completata",Visite!E80&lt;&gt;"Annullata"),Visite!A80,"")</f>
        <v/>
      </c>
      <c r="C377" s="0" t="str">
        <f aca="false">IF(B377="","","Visita"&amp;IF(Visite!D80="",""," · "&amp;Visite!D80)&amp;IF(Visite!B80="","",IF(ISNUMBER(Visite!B80)," · ore "&amp;TEXT(Visite!B80,"hh:mm")," · "&amp;Visite!B80)))</f>
        <v/>
      </c>
      <c r="D377" s="0" t="str">
        <f aca="false">IF(B377="","",Visite!C80)</f>
        <v/>
      </c>
      <c r="E377" s="0" t="str">
        <f aca="false">IF(B377="","","Visita")</f>
        <v/>
      </c>
      <c r="F377" s="0" t="str">
        <f aca="false">""</f>
        <v/>
      </c>
    </row>
    <row r="378" customFormat="false" ht="15" hidden="false" customHeight="false" outlineLevel="0" collapsed="false">
      <c r="A378" s="0" t="str">
        <f aca="true">IF(B378="","",IF(B378&gt;=TODAY(),B378+ROW()/100000,""))</f>
        <v/>
      </c>
      <c r="B378" s="0" t="str">
        <f aca="false">IF(AND(Visite!A81&lt;&gt;"",Visite!E81&lt;&gt;"Completata",Visite!E81&lt;&gt;"Annullata"),Visite!A81,"")</f>
        <v/>
      </c>
      <c r="C378" s="0" t="str">
        <f aca="false">IF(B378="","","Visita"&amp;IF(Visite!D81="",""," · "&amp;Visite!D81)&amp;IF(Visite!B81="","",IF(ISNUMBER(Visite!B81)," · ore "&amp;TEXT(Visite!B81,"hh:mm")," · "&amp;Visite!B81)))</f>
        <v/>
      </c>
      <c r="D378" s="0" t="str">
        <f aca="false">IF(B378="","",Visite!C81)</f>
        <v/>
      </c>
      <c r="E378" s="0" t="str">
        <f aca="false">IF(B378="","","Visita")</f>
        <v/>
      </c>
      <c r="F378" s="0" t="str">
        <f aca="false">""</f>
        <v/>
      </c>
    </row>
    <row r="379" customFormat="false" ht="15" hidden="false" customHeight="false" outlineLevel="0" collapsed="false">
      <c r="A379" s="0" t="str">
        <f aca="true">IF(B379="","",IF(B379&gt;=TODAY(),B379+ROW()/100000,""))</f>
        <v/>
      </c>
      <c r="B379" s="0" t="str">
        <f aca="false">IF(AND(Visite!A82&lt;&gt;"",Visite!E82&lt;&gt;"Completata",Visite!E82&lt;&gt;"Annullata"),Visite!A82,"")</f>
        <v/>
      </c>
      <c r="C379" s="0" t="str">
        <f aca="false">IF(B379="","","Visita"&amp;IF(Visite!D82="",""," · "&amp;Visite!D82)&amp;IF(Visite!B82="","",IF(ISNUMBER(Visite!B82)," · ore "&amp;TEXT(Visite!B82,"hh:mm")," · "&amp;Visite!B82)))</f>
        <v/>
      </c>
      <c r="D379" s="0" t="str">
        <f aca="false">IF(B379="","",Visite!C82)</f>
        <v/>
      </c>
      <c r="E379" s="0" t="str">
        <f aca="false">IF(B379="","","Visita")</f>
        <v/>
      </c>
      <c r="F379" s="0" t="str">
        <f aca="false">""</f>
        <v/>
      </c>
    </row>
    <row r="380" customFormat="false" ht="15" hidden="false" customHeight="false" outlineLevel="0" collapsed="false">
      <c r="A380" s="0" t="str">
        <f aca="true">IF(B380="","",IF(B380&gt;=TODAY(),B380+ROW()/100000,""))</f>
        <v/>
      </c>
      <c r="B380" s="0" t="str">
        <f aca="false">IF(AND(Visite!A83&lt;&gt;"",Visite!E83&lt;&gt;"Completata",Visite!E83&lt;&gt;"Annullata"),Visite!A83,"")</f>
        <v/>
      </c>
      <c r="C380" s="0" t="str">
        <f aca="false">IF(B380="","","Visita"&amp;IF(Visite!D83="",""," · "&amp;Visite!D83)&amp;IF(Visite!B83="","",IF(ISNUMBER(Visite!B83)," · ore "&amp;TEXT(Visite!B83,"hh:mm")," · "&amp;Visite!B83)))</f>
        <v/>
      </c>
      <c r="D380" s="0" t="str">
        <f aca="false">IF(B380="","",Visite!C83)</f>
        <v/>
      </c>
      <c r="E380" s="0" t="str">
        <f aca="false">IF(B380="","","Visita")</f>
        <v/>
      </c>
      <c r="F380" s="0" t="str">
        <f aca="false">""</f>
        <v/>
      </c>
    </row>
    <row r="381" customFormat="false" ht="15" hidden="false" customHeight="false" outlineLevel="0" collapsed="false">
      <c r="A381" s="0" t="str">
        <f aca="true">IF(B381="","",IF(B381&gt;=TODAY(),B381+ROW()/100000,""))</f>
        <v/>
      </c>
      <c r="B381" s="0" t="str">
        <f aca="false">IF(AND(Visite!A84&lt;&gt;"",Visite!E84&lt;&gt;"Completata",Visite!E84&lt;&gt;"Annullata"),Visite!A84,"")</f>
        <v/>
      </c>
      <c r="C381" s="0" t="str">
        <f aca="false">IF(B381="","","Visita"&amp;IF(Visite!D84="",""," · "&amp;Visite!D84)&amp;IF(Visite!B84="","",IF(ISNUMBER(Visite!B84)," · ore "&amp;TEXT(Visite!B84,"hh:mm")," · "&amp;Visite!B84)))</f>
        <v/>
      </c>
      <c r="D381" s="0" t="str">
        <f aca="false">IF(B381="","",Visite!C84)</f>
        <v/>
      </c>
      <c r="E381" s="0" t="str">
        <f aca="false">IF(B381="","","Visita")</f>
        <v/>
      </c>
      <c r="F381" s="0" t="str">
        <f aca="false">""</f>
        <v/>
      </c>
    </row>
    <row r="382" customFormat="false" ht="15" hidden="false" customHeight="false" outlineLevel="0" collapsed="false">
      <c r="A382" s="0" t="str">
        <f aca="true">IF(B382="","",IF(B382&gt;=TODAY(),B382+ROW()/100000,""))</f>
        <v/>
      </c>
      <c r="B382" s="0" t="str">
        <f aca="false">IF(AND(Visite!A85&lt;&gt;"",Visite!E85&lt;&gt;"Completata",Visite!E85&lt;&gt;"Annullata"),Visite!A85,"")</f>
        <v/>
      </c>
      <c r="C382" s="0" t="str">
        <f aca="false">IF(B382="","","Visita"&amp;IF(Visite!D85="",""," · "&amp;Visite!D85)&amp;IF(Visite!B85="","",IF(ISNUMBER(Visite!B85)," · ore "&amp;TEXT(Visite!B85,"hh:mm")," · "&amp;Visite!B85)))</f>
        <v/>
      </c>
      <c r="D382" s="0" t="str">
        <f aca="false">IF(B382="","",Visite!C85)</f>
        <v/>
      </c>
      <c r="E382" s="0" t="str">
        <f aca="false">IF(B382="","","Visita")</f>
        <v/>
      </c>
      <c r="F382" s="0" t="str">
        <f aca="false">""</f>
        <v/>
      </c>
    </row>
    <row r="383" customFormat="false" ht="15" hidden="false" customHeight="false" outlineLevel="0" collapsed="false">
      <c r="A383" s="0" t="str">
        <f aca="true">IF(B383="","",IF(B383&gt;=TODAY(),B383+ROW()/100000,""))</f>
        <v/>
      </c>
      <c r="B383" s="0" t="str">
        <f aca="false">IF(AND(Visite!A86&lt;&gt;"",Visite!E86&lt;&gt;"Completata",Visite!E86&lt;&gt;"Annullata"),Visite!A86,"")</f>
        <v/>
      </c>
      <c r="C383" s="0" t="str">
        <f aca="false">IF(B383="","","Visita"&amp;IF(Visite!D86="",""," · "&amp;Visite!D86)&amp;IF(Visite!B86="","",IF(ISNUMBER(Visite!B86)," · ore "&amp;TEXT(Visite!B86,"hh:mm")," · "&amp;Visite!B86)))</f>
        <v/>
      </c>
      <c r="D383" s="0" t="str">
        <f aca="false">IF(B383="","",Visite!C86)</f>
        <v/>
      </c>
      <c r="E383" s="0" t="str">
        <f aca="false">IF(B383="","","Visita")</f>
        <v/>
      </c>
      <c r="F383" s="0" t="str">
        <f aca="false">""</f>
        <v/>
      </c>
    </row>
    <row r="384" customFormat="false" ht="15" hidden="false" customHeight="false" outlineLevel="0" collapsed="false">
      <c r="A384" s="0" t="str">
        <f aca="true">IF(B384="","",IF(B384&gt;=TODAY(),B384+ROW()/100000,""))</f>
        <v/>
      </c>
      <c r="B384" s="0" t="str">
        <f aca="false">IF(AND(Visite!A87&lt;&gt;"",Visite!E87&lt;&gt;"Completata",Visite!E87&lt;&gt;"Annullata"),Visite!A87,"")</f>
        <v/>
      </c>
      <c r="C384" s="0" t="str">
        <f aca="false">IF(B384="","","Visita"&amp;IF(Visite!D87="",""," · "&amp;Visite!D87)&amp;IF(Visite!B87="","",IF(ISNUMBER(Visite!B87)," · ore "&amp;TEXT(Visite!B87,"hh:mm")," · "&amp;Visite!B87)))</f>
        <v/>
      </c>
      <c r="D384" s="0" t="str">
        <f aca="false">IF(B384="","",Visite!C87)</f>
        <v/>
      </c>
      <c r="E384" s="0" t="str">
        <f aca="false">IF(B384="","","Visita")</f>
        <v/>
      </c>
      <c r="F384" s="0" t="str">
        <f aca="false">""</f>
        <v/>
      </c>
    </row>
    <row r="385" customFormat="false" ht="15" hidden="false" customHeight="false" outlineLevel="0" collapsed="false">
      <c r="A385" s="0" t="str">
        <f aca="true">IF(B385="","",IF(B385&gt;=TODAY(),B385+ROW()/100000,""))</f>
        <v/>
      </c>
      <c r="B385" s="0" t="str">
        <f aca="false">IF(AND(Visite!A88&lt;&gt;"",Visite!E88&lt;&gt;"Completata",Visite!E88&lt;&gt;"Annullata"),Visite!A88,"")</f>
        <v/>
      </c>
      <c r="C385" s="0" t="str">
        <f aca="false">IF(B385="","","Visita"&amp;IF(Visite!D88="",""," · "&amp;Visite!D88)&amp;IF(Visite!B88="","",IF(ISNUMBER(Visite!B88)," · ore "&amp;TEXT(Visite!B88,"hh:mm")," · "&amp;Visite!B88)))</f>
        <v/>
      </c>
      <c r="D385" s="0" t="str">
        <f aca="false">IF(B385="","",Visite!C88)</f>
        <v/>
      </c>
      <c r="E385" s="0" t="str">
        <f aca="false">IF(B385="","","Visita")</f>
        <v/>
      </c>
      <c r="F385" s="0" t="str">
        <f aca="false">""</f>
        <v/>
      </c>
    </row>
    <row r="386" customFormat="false" ht="15" hidden="false" customHeight="false" outlineLevel="0" collapsed="false">
      <c r="A386" s="0" t="str">
        <f aca="true">IF(B386="","",IF(B386&gt;=TODAY(),B386+ROW()/100000,""))</f>
        <v/>
      </c>
      <c r="B386" s="0" t="str">
        <f aca="false">IF(AND(Visite!A89&lt;&gt;"",Visite!E89&lt;&gt;"Completata",Visite!E89&lt;&gt;"Annullata"),Visite!A89,"")</f>
        <v/>
      </c>
      <c r="C386" s="0" t="str">
        <f aca="false">IF(B386="","","Visita"&amp;IF(Visite!D89="",""," · "&amp;Visite!D89)&amp;IF(Visite!B89="","",IF(ISNUMBER(Visite!B89)," · ore "&amp;TEXT(Visite!B89,"hh:mm")," · "&amp;Visite!B89)))</f>
        <v/>
      </c>
      <c r="D386" s="0" t="str">
        <f aca="false">IF(B386="","",Visite!C89)</f>
        <v/>
      </c>
      <c r="E386" s="0" t="str">
        <f aca="false">IF(B386="","","Visita")</f>
        <v/>
      </c>
      <c r="F386" s="0" t="str">
        <f aca="false">""</f>
        <v/>
      </c>
    </row>
    <row r="387" customFormat="false" ht="15" hidden="false" customHeight="false" outlineLevel="0" collapsed="false">
      <c r="A387" s="0" t="str">
        <f aca="true">IF(B387="","",IF(B387&gt;=TODAY(),B387+ROW()/100000,""))</f>
        <v/>
      </c>
      <c r="B387" s="0" t="str">
        <f aca="false">IF(AND(Visite!A90&lt;&gt;"",Visite!E90&lt;&gt;"Completata",Visite!E90&lt;&gt;"Annullata"),Visite!A90,"")</f>
        <v/>
      </c>
      <c r="C387" s="0" t="str">
        <f aca="false">IF(B387="","","Visita"&amp;IF(Visite!D90="",""," · "&amp;Visite!D90)&amp;IF(Visite!B90="","",IF(ISNUMBER(Visite!B90)," · ore "&amp;TEXT(Visite!B90,"hh:mm")," · "&amp;Visite!B90)))</f>
        <v/>
      </c>
      <c r="D387" s="0" t="str">
        <f aca="false">IF(B387="","",Visite!C90)</f>
        <v/>
      </c>
      <c r="E387" s="0" t="str">
        <f aca="false">IF(B387="","","Visita")</f>
        <v/>
      </c>
      <c r="F387" s="0" t="str">
        <f aca="false">""</f>
        <v/>
      </c>
    </row>
    <row r="388" customFormat="false" ht="15" hidden="false" customHeight="false" outlineLevel="0" collapsed="false">
      <c r="A388" s="0" t="str">
        <f aca="true">IF(B388="","",IF(B388&gt;=TODAY(),B388+ROW()/100000,""))</f>
        <v/>
      </c>
      <c r="B388" s="0" t="str">
        <f aca="false">IF(AND(Visite!A91&lt;&gt;"",Visite!E91&lt;&gt;"Completata",Visite!E91&lt;&gt;"Annullata"),Visite!A91,"")</f>
        <v/>
      </c>
      <c r="C388" s="0" t="str">
        <f aca="false">IF(B388="","","Visita"&amp;IF(Visite!D91="",""," · "&amp;Visite!D91)&amp;IF(Visite!B91="","",IF(ISNUMBER(Visite!B91)," · ore "&amp;TEXT(Visite!B91,"hh:mm")," · "&amp;Visite!B91)))</f>
        <v/>
      </c>
      <c r="D388" s="0" t="str">
        <f aca="false">IF(B388="","",Visite!C91)</f>
        <v/>
      </c>
      <c r="E388" s="0" t="str">
        <f aca="false">IF(B388="","","Visita")</f>
        <v/>
      </c>
      <c r="F388" s="0" t="str">
        <f aca="false">""</f>
        <v/>
      </c>
    </row>
    <row r="389" customFormat="false" ht="15" hidden="false" customHeight="false" outlineLevel="0" collapsed="false">
      <c r="A389" s="0" t="str">
        <f aca="true">IF(B389="","",IF(B389&gt;=TODAY(),B389+ROW()/100000,""))</f>
        <v/>
      </c>
      <c r="B389" s="0" t="str">
        <f aca="false">IF(AND(Visite!A92&lt;&gt;"",Visite!E92&lt;&gt;"Completata",Visite!E92&lt;&gt;"Annullata"),Visite!A92,"")</f>
        <v/>
      </c>
      <c r="C389" s="0" t="str">
        <f aca="false">IF(B389="","","Visita"&amp;IF(Visite!D92="",""," · "&amp;Visite!D92)&amp;IF(Visite!B92="","",IF(ISNUMBER(Visite!B92)," · ore "&amp;TEXT(Visite!B92,"hh:mm")," · "&amp;Visite!B92)))</f>
        <v/>
      </c>
      <c r="D389" s="0" t="str">
        <f aca="false">IF(B389="","",Visite!C92)</f>
        <v/>
      </c>
      <c r="E389" s="0" t="str">
        <f aca="false">IF(B389="","","Visita")</f>
        <v/>
      </c>
      <c r="F389" s="0" t="str">
        <f aca="false">""</f>
        <v/>
      </c>
    </row>
    <row r="390" customFormat="false" ht="15" hidden="false" customHeight="false" outlineLevel="0" collapsed="false">
      <c r="A390" s="0" t="str">
        <f aca="true">IF(B390="","",IF(B390&gt;=TODAY(),B390+ROW()/100000,""))</f>
        <v/>
      </c>
      <c r="B390" s="0" t="str">
        <f aca="false">IF(AND(Visite!A93&lt;&gt;"",Visite!E93&lt;&gt;"Completata",Visite!E93&lt;&gt;"Annullata"),Visite!A93,"")</f>
        <v/>
      </c>
      <c r="C390" s="0" t="str">
        <f aca="false">IF(B390="","","Visita"&amp;IF(Visite!D93="",""," · "&amp;Visite!D93)&amp;IF(Visite!B93="","",IF(ISNUMBER(Visite!B93)," · ore "&amp;TEXT(Visite!B93,"hh:mm")," · "&amp;Visite!B93)))</f>
        <v/>
      </c>
      <c r="D390" s="0" t="str">
        <f aca="false">IF(B390="","",Visite!C93)</f>
        <v/>
      </c>
      <c r="E390" s="0" t="str">
        <f aca="false">IF(B390="","","Visita")</f>
        <v/>
      </c>
      <c r="F390" s="0" t="str">
        <f aca="false">""</f>
        <v/>
      </c>
    </row>
    <row r="391" customFormat="false" ht="15" hidden="false" customHeight="false" outlineLevel="0" collapsed="false">
      <c r="A391" s="0" t="str">
        <f aca="true">IF(B391="","",IF(B391&gt;=TODAY(),B391+ROW()/100000,""))</f>
        <v/>
      </c>
      <c r="B391" s="0" t="str">
        <f aca="false">IF(AND(Visite!A94&lt;&gt;"",Visite!E94&lt;&gt;"Completata",Visite!E94&lt;&gt;"Annullata"),Visite!A94,"")</f>
        <v/>
      </c>
      <c r="C391" s="0" t="str">
        <f aca="false">IF(B391="","","Visita"&amp;IF(Visite!D94="",""," · "&amp;Visite!D94)&amp;IF(Visite!B94="","",IF(ISNUMBER(Visite!B94)," · ore "&amp;TEXT(Visite!B94,"hh:mm")," · "&amp;Visite!B94)))</f>
        <v/>
      </c>
      <c r="D391" s="0" t="str">
        <f aca="false">IF(B391="","",Visite!C94)</f>
        <v/>
      </c>
      <c r="E391" s="0" t="str">
        <f aca="false">IF(B391="","","Visita")</f>
        <v/>
      </c>
      <c r="F391" s="0" t="str">
        <f aca="false">""</f>
        <v/>
      </c>
    </row>
    <row r="392" customFormat="false" ht="15" hidden="false" customHeight="false" outlineLevel="0" collapsed="false">
      <c r="A392" s="0" t="str">
        <f aca="true">IF(B392="","",IF(B392&gt;=TODAY(),B392+ROW()/100000,""))</f>
        <v/>
      </c>
      <c r="B392" s="0" t="str">
        <f aca="false">IF(AND(Visite!A95&lt;&gt;"",Visite!E95&lt;&gt;"Completata",Visite!E95&lt;&gt;"Annullata"),Visite!A95,"")</f>
        <v/>
      </c>
      <c r="C392" s="0" t="str">
        <f aca="false">IF(B392="","","Visita"&amp;IF(Visite!D95="",""," · "&amp;Visite!D95)&amp;IF(Visite!B95="","",IF(ISNUMBER(Visite!B95)," · ore "&amp;TEXT(Visite!B95,"hh:mm")," · "&amp;Visite!B95)))</f>
        <v/>
      </c>
      <c r="D392" s="0" t="str">
        <f aca="false">IF(B392="","",Visite!C95)</f>
        <v/>
      </c>
      <c r="E392" s="0" t="str">
        <f aca="false">IF(B392="","","Visita")</f>
        <v/>
      </c>
      <c r="F392" s="0" t="str">
        <f aca="false">""</f>
        <v/>
      </c>
    </row>
    <row r="393" customFormat="false" ht="15" hidden="false" customHeight="false" outlineLevel="0" collapsed="false">
      <c r="A393" s="0" t="str">
        <f aca="true">IF(B393="","",IF(B393&gt;=TODAY(),B393+ROW()/100000,""))</f>
        <v/>
      </c>
      <c r="B393" s="0" t="str">
        <f aca="false">IF(AND(Visite!A96&lt;&gt;"",Visite!E96&lt;&gt;"Completata",Visite!E96&lt;&gt;"Annullata"),Visite!A96,"")</f>
        <v/>
      </c>
      <c r="C393" s="0" t="str">
        <f aca="false">IF(B393="","","Visita"&amp;IF(Visite!D96="",""," · "&amp;Visite!D96)&amp;IF(Visite!B96="","",IF(ISNUMBER(Visite!B96)," · ore "&amp;TEXT(Visite!B96,"hh:mm")," · "&amp;Visite!B96)))</f>
        <v/>
      </c>
      <c r="D393" s="0" t="str">
        <f aca="false">IF(B393="","",Visite!C96)</f>
        <v/>
      </c>
      <c r="E393" s="0" t="str">
        <f aca="false">IF(B393="","","Visita")</f>
        <v/>
      </c>
      <c r="F393" s="0" t="str">
        <f aca="false">""</f>
        <v/>
      </c>
    </row>
    <row r="394" customFormat="false" ht="15" hidden="false" customHeight="false" outlineLevel="0" collapsed="false">
      <c r="A394" s="0" t="str">
        <f aca="true">IF(B394="","",IF(B394&gt;=TODAY(),B394+ROW()/100000,""))</f>
        <v/>
      </c>
      <c r="B394" s="0" t="str">
        <f aca="false">IF(AND(Visite!A97&lt;&gt;"",Visite!E97&lt;&gt;"Completata",Visite!E97&lt;&gt;"Annullata"),Visite!A97,"")</f>
        <v/>
      </c>
      <c r="C394" s="0" t="str">
        <f aca="false">IF(B394="","","Visita"&amp;IF(Visite!D97="",""," · "&amp;Visite!D97)&amp;IF(Visite!B97="","",IF(ISNUMBER(Visite!B97)," · ore "&amp;TEXT(Visite!B97,"hh:mm")," · "&amp;Visite!B97)))</f>
        <v/>
      </c>
      <c r="D394" s="0" t="str">
        <f aca="false">IF(B394="","",Visite!C97)</f>
        <v/>
      </c>
      <c r="E394" s="0" t="str">
        <f aca="false">IF(B394="","","Visita")</f>
        <v/>
      </c>
      <c r="F394" s="0" t="str">
        <f aca="false">""</f>
        <v/>
      </c>
    </row>
    <row r="395" customFormat="false" ht="15" hidden="false" customHeight="false" outlineLevel="0" collapsed="false">
      <c r="A395" s="0" t="str">
        <f aca="true">IF(B395="","",IF(B395&gt;=TODAY(),B395+ROW()/100000,""))</f>
        <v/>
      </c>
      <c r="B395" s="0" t="str">
        <f aca="false">IF(AND(Visite!A98&lt;&gt;"",Visite!E98&lt;&gt;"Completata",Visite!E98&lt;&gt;"Annullata"),Visite!A98,"")</f>
        <v/>
      </c>
      <c r="C395" s="0" t="str">
        <f aca="false">IF(B395="","","Visita"&amp;IF(Visite!D98="",""," · "&amp;Visite!D98)&amp;IF(Visite!B98="","",IF(ISNUMBER(Visite!B98)," · ore "&amp;TEXT(Visite!B98,"hh:mm")," · "&amp;Visite!B98)))</f>
        <v/>
      </c>
      <c r="D395" s="0" t="str">
        <f aca="false">IF(B395="","",Visite!C98)</f>
        <v/>
      </c>
      <c r="E395" s="0" t="str">
        <f aca="false">IF(B395="","","Visita")</f>
        <v/>
      </c>
      <c r="F395" s="0" t="str">
        <f aca="false">""</f>
        <v/>
      </c>
    </row>
    <row r="396" customFormat="false" ht="15" hidden="false" customHeight="false" outlineLevel="0" collapsed="false">
      <c r="A396" s="0" t="str">
        <f aca="true">IF(B396="","",IF(B396&gt;=TODAY(),B396+ROW()/100000,""))</f>
        <v/>
      </c>
      <c r="B396" s="0" t="str">
        <f aca="false">IF(AND(Visite!A99&lt;&gt;"",Visite!E99&lt;&gt;"Completata",Visite!E99&lt;&gt;"Annullata"),Visite!A99,"")</f>
        <v/>
      </c>
      <c r="C396" s="0" t="str">
        <f aca="false">IF(B396="","","Visita"&amp;IF(Visite!D99="",""," · "&amp;Visite!D99)&amp;IF(Visite!B99="","",IF(ISNUMBER(Visite!B99)," · ore "&amp;TEXT(Visite!B99,"hh:mm")," · "&amp;Visite!B99)))</f>
        <v/>
      </c>
      <c r="D396" s="0" t="str">
        <f aca="false">IF(B396="","",Visite!C99)</f>
        <v/>
      </c>
      <c r="E396" s="0" t="str">
        <f aca="false">IF(B396="","","Visita")</f>
        <v/>
      </c>
      <c r="F396" s="0" t="str">
        <f aca="false">""</f>
        <v/>
      </c>
    </row>
    <row r="397" customFormat="false" ht="15" hidden="false" customHeight="false" outlineLevel="0" collapsed="false">
      <c r="A397" s="0" t="str">
        <f aca="true">IF(B397="","",IF(B397&gt;=TODAY(),B397+ROW()/100000,""))</f>
        <v/>
      </c>
      <c r="B397" s="0" t="str">
        <f aca="false">IF(AND(Visite!A100&lt;&gt;"",Visite!E100&lt;&gt;"Completata",Visite!E100&lt;&gt;"Annullata"),Visite!A100,"")</f>
        <v/>
      </c>
      <c r="C397" s="0" t="str">
        <f aca="false">IF(B397="","","Visita"&amp;IF(Visite!D100="",""," · "&amp;Visite!D100)&amp;IF(Visite!B100="","",IF(ISNUMBER(Visite!B100)," · ore "&amp;TEXT(Visite!B100,"hh:mm")," · "&amp;Visite!B100)))</f>
        <v/>
      </c>
      <c r="D397" s="0" t="str">
        <f aca="false">IF(B397="","",Visite!C100)</f>
        <v/>
      </c>
      <c r="E397" s="0" t="str">
        <f aca="false">IF(B397="","","Visita")</f>
        <v/>
      </c>
      <c r="F397" s="0" t="str">
        <f aca="false">""</f>
        <v/>
      </c>
    </row>
    <row r="398" customFormat="false" ht="15" hidden="false" customHeight="false" outlineLevel="0" collapsed="false">
      <c r="A398" s="0" t="str">
        <f aca="true">IF(B398="","",IF(B398&gt;=TODAY(),B398+ROW()/100000,""))</f>
        <v/>
      </c>
      <c r="B398" s="0" t="str">
        <f aca="false">IF(AND(Visite!A101&lt;&gt;"",Visite!E101&lt;&gt;"Completata",Visite!E101&lt;&gt;"Annullata"),Visite!A101,"")</f>
        <v/>
      </c>
      <c r="C398" s="0" t="str">
        <f aca="false">IF(B398="","","Visita"&amp;IF(Visite!D101="",""," · "&amp;Visite!D101)&amp;IF(Visite!B101="","",IF(ISNUMBER(Visite!B101)," · ore "&amp;TEXT(Visite!B101,"hh:mm")," · "&amp;Visite!B101)))</f>
        <v/>
      </c>
      <c r="D398" s="0" t="str">
        <f aca="false">IF(B398="","",Visite!C101)</f>
        <v/>
      </c>
      <c r="E398" s="0" t="str">
        <f aca="false">IF(B398="","","Visita")</f>
        <v/>
      </c>
      <c r="F398" s="0" t="str">
        <f aca="false">""</f>
        <v/>
      </c>
    </row>
    <row r="399" customFormat="false" ht="15" hidden="false" customHeight="false" outlineLevel="0" collapsed="false">
      <c r="A399" s="0" t="str">
        <f aca="true">IF(B399="","",IF(B399&gt;=TODAY(),B399+ROW()/100000,""))</f>
        <v/>
      </c>
      <c r="B399" s="0" t="str">
        <f aca="false">IF(AND(Visite!A102&lt;&gt;"",Visite!E102&lt;&gt;"Completata",Visite!E102&lt;&gt;"Annullata"),Visite!A102,"")</f>
        <v/>
      </c>
      <c r="C399" s="0" t="str">
        <f aca="false">IF(B399="","","Visita"&amp;IF(Visite!D102="",""," · "&amp;Visite!D102)&amp;IF(Visite!B102="","",IF(ISNUMBER(Visite!B102)," · ore "&amp;TEXT(Visite!B102,"hh:mm")," · "&amp;Visite!B102)))</f>
        <v/>
      </c>
      <c r="D399" s="0" t="str">
        <f aca="false">IF(B399="","",Visite!C102)</f>
        <v/>
      </c>
      <c r="E399" s="0" t="str">
        <f aca="false">IF(B399="","","Visita")</f>
        <v/>
      </c>
      <c r="F399" s="0" t="str">
        <f aca="false">""</f>
        <v/>
      </c>
    </row>
    <row r="400" customFormat="false" ht="15" hidden="false" customHeight="false" outlineLevel="0" collapsed="false">
      <c r="A400" s="0" t="str">
        <f aca="true">IF(B400="","",IF(B400&gt;=TODAY(),B400+ROW()/100000,""))</f>
        <v/>
      </c>
      <c r="B400" s="0" t="str">
        <f aca="false">IF(AND(Visite!A103&lt;&gt;"",Visite!E103&lt;&gt;"Completata",Visite!E103&lt;&gt;"Annullata"),Visite!A103,"")</f>
        <v/>
      </c>
      <c r="C400" s="0" t="str">
        <f aca="false">IF(B400="","","Visita"&amp;IF(Visite!D103="",""," · "&amp;Visite!D103)&amp;IF(Visite!B103="","",IF(ISNUMBER(Visite!B103)," · ore "&amp;TEXT(Visite!B103,"hh:mm")," · "&amp;Visite!B103)))</f>
        <v/>
      </c>
      <c r="D400" s="0" t="str">
        <f aca="false">IF(B400="","",Visite!C103)</f>
        <v/>
      </c>
      <c r="E400" s="0" t="str">
        <f aca="false">IF(B400="","","Visita")</f>
        <v/>
      </c>
      <c r="F400" s="0" t="str">
        <f aca="false">""</f>
        <v/>
      </c>
    </row>
    <row r="401" customFormat="false" ht="15" hidden="false" customHeight="false" outlineLevel="0" collapsed="false">
      <c r="A401" s="0" t="str">
        <f aca="true">IF(B401="","",IF(B401&gt;=TODAY(),B401+ROW()/100000,""))</f>
        <v/>
      </c>
      <c r="B401" s="0" t="str">
        <f aca="false">IF(AND(Visite!A104&lt;&gt;"",Visite!E104&lt;&gt;"Completata",Visite!E104&lt;&gt;"Annullata"),Visite!A104,"")</f>
        <v/>
      </c>
      <c r="C401" s="0" t="str">
        <f aca="false">IF(B401="","","Visita"&amp;IF(Visite!D104="",""," · "&amp;Visite!D104)&amp;IF(Visite!B104="","",IF(ISNUMBER(Visite!B104)," · ore "&amp;TEXT(Visite!B104,"hh:mm")," · "&amp;Visite!B104)))</f>
        <v/>
      </c>
      <c r="D401" s="0" t="str">
        <f aca="false">IF(B401="","",Visite!C104)</f>
        <v/>
      </c>
      <c r="E401" s="0" t="str">
        <f aca="false">IF(B401="","","Visita")</f>
        <v/>
      </c>
      <c r="F401" s="0" t="str">
        <f aca="false">""</f>
        <v/>
      </c>
    </row>
    <row r="402" customFormat="false" ht="15" hidden="false" customHeight="false" outlineLevel="0" collapsed="false">
      <c r="A402" s="0" t="str">
        <f aca="true">IF(B402="","",IF(B402&gt;=TODAY(),B402+ROW()/100000,""))</f>
        <v/>
      </c>
      <c r="B402" s="0" t="str">
        <f aca="false">IF(AND(Visite!A105&lt;&gt;"",Visite!E105&lt;&gt;"Completata",Visite!E105&lt;&gt;"Annullata"),Visite!A105,"")</f>
        <v/>
      </c>
      <c r="C402" s="0" t="str">
        <f aca="false">IF(B402="","","Visita"&amp;IF(Visite!D105="",""," · "&amp;Visite!D105)&amp;IF(Visite!B105="","",IF(ISNUMBER(Visite!B105)," · ore "&amp;TEXT(Visite!B105,"hh:mm")," · "&amp;Visite!B105)))</f>
        <v/>
      </c>
      <c r="D402" s="0" t="str">
        <f aca="false">IF(B402="","",Visite!C105)</f>
        <v/>
      </c>
      <c r="E402" s="0" t="str">
        <f aca="false">IF(B402="","","Visita")</f>
        <v/>
      </c>
      <c r="F402" s="0" t="str">
        <f aca="false">""</f>
        <v/>
      </c>
    </row>
    <row r="403" customFormat="false" ht="15" hidden="false" customHeight="false" outlineLevel="0" collapsed="false">
      <c r="A403" s="0" t="str">
        <f aca="true">IF(B403="","",IF(B403&gt;=TODAY(),B403+ROW()/100000,""))</f>
        <v/>
      </c>
      <c r="B403" s="0" t="str">
        <f aca="false">IF(AND(Visite!A106&lt;&gt;"",Visite!E106&lt;&gt;"Completata",Visite!E106&lt;&gt;"Annullata"),Visite!A106,"")</f>
        <v/>
      </c>
      <c r="C403" s="0" t="str">
        <f aca="false">IF(B403="","","Visita"&amp;IF(Visite!D106="",""," · "&amp;Visite!D106)&amp;IF(Visite!B106="","",IF(ISNUMBER(Visite!B106)," · ore "&amp;TEXT(Visite!B106,"hh:mm")," · "&amp;Visite!B106)))</f>
        <v/>
      </c>
      <c r="D403" s="0" t="str">
        <f aca="false">IF(B403="","",Visite!C106)</f>
        <v/>
      </c>
      <c r="E403" s="0" t="str">
        <f aca="false">IF(B403="","","Visita")</f>
        <v/>
      </c>
      <c r="F403" s="0" t="str">
        <f aca="false">""</f>
        <v/>
      </c>
    </row>
    <row r="404" customFormat="false" ht="15" hidden="false" customHeight="false" outlineLevel="0" collapsed="false">
      <c r="A404" s="0" t="str">
        <f aca="true">IF(B404="","",IF(B404&gt;=TODAY(),B404+ROW()/100000,""))</f>
        <v/>
      </c>
      <c r="B404" s="0" t="str">
        <f aca="false">IF(AND(Visite!A107&lt;&gt;"",Visite!E107&lt;&gt;"Completata",Visite!E107&lt;&gt;"Annullata"),Visite!A107,"")</f>
        <v/>
      </c>
      <c r="C404" s="0" t="str">
        <f aca="false">IF(B404="","","Visita"&amp;IF(Visite!D107="",""," · "&amp;Visite!D107)&amp;IF(Visite!B107="","",IF(ISNUMBER(Visite!B107)," · ore "&amp;TEXT(Visite!B107,"hh:mm")," · "&amp;Visite!B107)))</f>
        <v/>
      </c>
      <c r="D404" s="0" t="str">
        <f aca="false">IF(B404="","",Visite!C107)</f>
        <v/>
      </c>
      <c r="E404" s="0" t="str">
        <f aca="false">IF(B404="","","Visita")</f>
        <v/>
      </c>
      <c r="F404" s="0" t="str">
        <f aca="false">""</f>
        <v/>
      </c>
    </row>
    <row r="405" customFormat="false" ht="15" hidden="false" customHeight="false" outlineLevel="0" collapsed="false">
      <c r="A405" s="0" t="str">
        <f aca="true">IF(B405="","",IF(B405&gt;=TODAY(),B405+ROW()/100000,""))</f>
        <v/>
      </c>
      <c r="B405" s="0" t="str">
        <f aca="false">IF(AND(Visite!A108&lt;&gt;"",Visite!E108&lt;&gt;"Completata",Visite!E108&lt;&gt;"Annullata"),Visite!A108,"")</f>
        <v/>
      </c>
      <c r="C405" s="0" t="str">
        <f aca="false">IF(B405="","","Visita"&amp;IF(Visite!D108="",""," · "&amp;Visite!D108)&amp;IF(Visite!B108="","",IF(ISNUMBER(Visite!B108)," · ore "&amp;TEXT(Visite!B108,"hh:mm")," · "&amp;Visite!B108)))</f>
        <v/>
      </c>
      <c r="D405" s="0" t="str">
        <f aca="false">IF(B405="","",Visite!C108)</f>
        <v/>
      </c>
      <c r="E405" s="0" t="str">
        <f aca="false">IF(B405="","","Visita")</f>
        <v/>
      </c>
      <c r="F405" s="0" t="str">
        <f aca="false">""</f>
        <v/>
      </c>
    </row>
    <row r="406" customFormat="false" ht="15" hidden="false" customHeight="false" outlineLevel="0" collapsed="false">
      <c r="A406" s="0" t="str">
        <f aca="true">IF(B406="","",IF(B406&gt;=TODAY(),B406+ROW()/100000,""))</f>
        <v/>
      </c>
      <c r="B406" s="0" t="str">
        <f aca="false">IF(AND(Visite!A109&lt;&gt;"",Visite!E109&lt;&gt;"Completata",Visite!E109&lt;&gt;"Annullata"),Visite!A109,"")</f>
        <v/>
      </c>
      <c r="C406" s="0" t="str">
        <f aca="false">IF(B406="","","Visita"&amp;IF(Visite!D109="",""," · "&amp;Visite!D109)&amp;IF(Visite!B109="","",IF(ISNUMBER(Visite!B109)," · ore "&amp;TEXT(Visite!B109,"hh:mm")," · "&amp;Visite!B109)))</f>
        <v/>
      </c>
      <c r="D406" s="0" t="str">
        <f aca="false">IF(B406="","",Visite!C109)</f>
        <v/>
      </c>
      <c r="E406" s="0" t="str">
        <f aca="false">IF(B406="","","Visita")</f>
        <v/>
      </c>
      <c r="F406" s="0" t="str">
        <f aca="false">""</f>
        <v/>
      </c>
    </row>
    <row r="407" customFormat="false" ht="15" hidden="false" customHeight="false" outlineLevel="0" collapsed="false">
      <c r="A407" s="0" t="str">
        <f aca="true">IF(B407="","",IF(B407&gt;=TODAY(),B407+ROW()/100000,""))</f>
        <v/>
      </c>
      <c r="B407" s="0" t="str">
        <f aca="false">IF(AND(Visite!A110&lt;&gt;"",Visite!E110&lt;&gt;"Completata",Visite!E110&lt;&gt;"Annullata"),Visite!A110,"")</f>
        <v/>
      </c>
      <c r="C407" s="0" t="str">
        <f aca="false">IF(B407="","","Visita"&amp;IF(Visite!D110="",""," · "&amp;Visite!D110)&amp;IF(Visite!B110="","",IF(ISNUMBER(Visite!B110)," · ore "&amp;TEXT(Visite!B110,"hh:mm")," · "&amp;Visite!B110)))</f>
        <v/>
      </c>
      <c r="D407" s="0" t="str">
        <f aca="false">IF(B407="","",Visite!C110)</f>
        <v/>
      </c>
      <c r="E407" s="0" t="str">
        <f aca="false">IF(B407="","","Visita")</f>
        <v/>
      </c>
      <c r="F407" s="0" t="str">
        <f aca="false">""</f>
        <v/>
      </c>
    </row>
    <row r="408" customFormat="false" ht="15" hidden="false" customHeight="false" outlineLevel="0" collapsed="false">
      <c r="A408" s="0" t="str">
        <f aca="true">IF(B408="","",IF(B408&gt;=TODAY(),B408+ROW()/100000,""))</f>
        <v/>
      </c>
      <c r="B408" s="0" t="str">
        <f aca="false">IF(AND(Visite!A111&lt;&gt;"",Visite!E111&lt;&gt;"Completata",Visite!E111&lt;&gt;"Annullata"),Visite!A111,"")</f>
        <v/>
      </c>
      <c r="C408" s="0" t="str">
        <f aca="false">IF(B408="","","Visita"&amp;IF(Visite!D111="",""," · "&amp;Visite!D111)&amp;IF(Visite!B111="","",IF(ISNUMBER(Visite!B111)," · ore "&amp;TEXT(Visite!B111,"hh:mm")," · "&amp;Visite!B111)))</f>
        <v/>
      </c>
      <c r="D408" s="0" t="str">
        <f aca="false">IF(B408="","",Visite!C111)</f>
        <v/>
      </c>
      <c r="E408" s="0" t="str">
        <f aca="false">IF(B408="","","Visita")</f>
        <v/>
      </c>
      <c r="F408" s="0" t="str">
        <f aca="false">""</f>
        <v/>
      </c>
    </row>
    <row r="409" customFormat="false" ht="15" hidden="false" customHeight="false" outlineLevel="0" collapsed="false">
      <c r="A409" s="0" t="str">
        <f aca="true">IF(B409="","",IF(B409&gt;=TODAY(),B409+ROW()/100000,""))</f>
        <v/>
      </c>
      <c r="B409" s="0" t="str">
        <f aca="false">IF(AND(Visite!A112&lt;&gt;"",Visite!E112&lt;&gt;"Completata",Visite!E112&lt;&gt;"Annullata"),Visite!A112,"")</f>
        <v/>
      </c>
      <c r="C409" s="0" t="str">
        <f aca="false">IF(B409="","","Visita"&amp;IF(Visite!D112="",""," · "&amp;Visite!D112)&amp;IF(Visite!B112="","",IF(ISNUMBER(Visite!B112)," · ore "&amp;TEXT(Visite!B112,"hh:mm")," · "&amp;Visite!B112)))</f>
        <v/>
      </c>
      <c r="D409" s="0" t="str">
        <f aca="false">IF(B409="","",Visite!C112)</f>
        <v/>
      </c>
      <c r="E409" s="0" t="str">
        <f aca="false">IF(B409="","","Visita")</f>
        <v/>
      </c>
      <c r="F409" s="0" t="str">
        <f aca="false">""</f>
        <v/>
      </c>
    </row>
    <row r="410" customFormat="false" ht="15" hidden="false" customHeight="false" outlineLevel="0" collapsed="false">
      <c r="A410" s="0" t="str">
        <f aca="true">IF(B410="","",IF(B410&gt;=TODAY(),B410+ROW()/100000,""))</f>
        <v/>
      </c>
      <c r="B410" s="0" t="str">
        <f aca="false">IF(AND(Visite!A113&lt;&gt;"",Visite!E113&lt;&gt;"Completata",Visite!E113&lt;&gt;"Annullata"),Visite!A113,"")</f>
        <v/>
      </c>
      <c r="C410" s="0" t="str">
        <f aca="false">IF(B410="","","Visita"&amp;IF(Visite!D113="",""," · "&amp;Visite!D113)&amp;IF(Visite!B113="","",IF(ISNUMBER(Visite!B113)," · ore "&amp;TEXT(Visite!B113,"hh:mm")," · "&amp;Visite!B113)))</f>
        <v/>
      </c>
      <c r="D410" s="0" t="str">
        <f aca="false">IF(B410="","",Visite!C113)</f>
        <v/>
      </c>
      <c r="E410" s="0" t="str">
        <f aca="false">IF(B410="","","Visita")</f>
        <v/>
      </c>
      <c r="F410" s="0" t="str">
        <f aca="false">""</f>
        <v/>
      </c>
    </row>
    <row r="411" customFormat="false" ht="15" hidden="false" customHeight="false" outlineLevel="0" collapsed="false">
      <c r="A411" s="0" t="str">
        <f aca="true">IF(B411="","",IF(B411&gt;=TODAY(),B411+ROW()/100000,""))</f>
        <v/>
      </c>
      <c r="B411" s="0" t="str">
        <f aca="false">IF(AND(Visite!A114&lt;&gt;"",Visite!E114&lt;&gt;"Completata",Visite!E114&lt;&gt;"Annullata"),Visite!A114,"")</f>
        <v/>
      </c>
      <c r="C411" s="0" t="str">
        <f aca="false">IF(B411="","","Visita"&amp;IF(Visite!D114="",""," · "&amp;Visite!D114)&amp;IF(Visite!B114="","",IF(ISNUMBER(Visite!B114)," · ore "&amp;TEXT(Visite!B114,"hh:mm")," · "&amp;Visite!B114)))</f>
        <v/>
      </c>
      <c r="D411" s="0" t="str">
        <f aca="false">IF(B411="","",Visite!C114)</f>
        <v/>
      </c>
      <c r="E411" s="0" t="str">
        <f aca="false">IF(B411="","","Visita")</f>
        <v/>
      </c>
      <c r="F411" s="0" t="str">
        <f aca="false">""</f>
        <v/>
      </c>
    </row>
    <row r="412" customFormat="false" ht="15" hidden="false" customHeight="false" outlineLevel="0" collapsed="false">
      <c r="A412" s="0" t="str">
        <f aca="true">IF(B412="","",IF(B412&gt;=TODAY(),B412+ROW()/100000,""))</f>
        <v/>
      </c>
      <c r="B412" s="0" t="str">
        <f aca="false">IF(AND(Visite!A115&lt;&gt;"",Visite!E115&lt;&gt;"Completata",Visite!E115&lt;&gt;"Annullata"),Visite!A115,"")</f>
        <v/>
      </c>
      <c r="C412" s="0" t="str">
        <f aca="false">IF(B412="","","Visita"&amp;IF(Visite!D115="",""," · "&amp;Visite!D115)&amp;IF(Visite!B115="","",IF(ISNUMBER(Visite!B115)," · ore "&amp;TEXT(Visite!B115,"hh:mm")," · "&amp;Visite!B115)))</f>
        <v/>
      </c>
      <c r="D412" s="0" t="str">
        <f aca="false">IF(B412="","",Visite!C115)</f>
        <v/>
      </c>
      <c r="E412" s="0" t="str">
        <f aca="false">IF(B412="","","Visita")</f>
        <v/>
      </c>
      <c r="F412" s="0" t="str">
        <f aca="false">""</f>
        <v/>
      </c>
    </row>
    <row r="413" customFormat="false" ht="15" hidden="false" customHeight="false" outlineLevel="0" collapsed="false">
      <c r="A413" s="0" t="str">
        <f aca="true">IF(B413="","",IF(B413&gt;=TODAY(),B413+ROW()/100000,""))</f>
        <v/>
      </c>
      <c r="B413" s="0" t="str">
        <f aca="false">IF(AND(Visite!A116&lt;&gt;"",Visite!E116&lt;&gt;"Completata",Visite!E116&lt;&gt;"Annullata"),Visite!A116,"")</f>
        <v/>
      </c>
      <c r="C413" s="0" t="str">
        <f aca="false">IF(B413="","","Visita"&amp;IF(Visite!D116="",""," · "&amp;Visite!D116)&amp;IF(Visite!B116="","",IF(ISNUMBER(Visite!B116)," · ore "&amp;TEXT(Visite!B116,"hh:mm")," · "&amp;Visite!B116)))</f>
        <v/>
      </c>
      <c r="D413" s="0" t="str">
        <f aca="false">IF(B413="","",Visite!C116)</f>
        <v/>
      </c>
      <c r="E413" s="0" t="str">
        <f aca="false">IF(B413="","","Visita")</f>
        <v/>
      </c>
      <c r="F413" s="0" t="str">
        <f aca="false">""</f>
        <v/>
      </c>
    </row>
    <row r="414" customFormat="false" ht="15" hidden="false" customHeight="false" outlineLevel="0" collapsed="false">
      <c r="A414" s="0" t="str">
        <f aca="true">IF(B414="","",IF(B414&gt;=TODAY(),B414+ROW()/100000,""))</f>
        <v/>
      </c>
      <c r="B414" s="0" t="str">
        <f aca="false">IF(AND(Visite!A117&lt;&gt;"",Visite!E117&lt;&gt;"Completata",Visite!E117&lt;&gt;"Annullata"),Visite!A117,"")</f>
        <v/>
      </c>
      <c r="C414" s="0" t="str">
        <f aca="false">IF(B414="","","Visita"&amp;IF(Visite!D117="",""," · "&amp;Visite!D117)&amp;IF(Visite!B117="","",IF(ISNUMBER(Visite!B117)," · ore "&amp;TEXT(Visite!B117,"hh:mm")," · "&amp;Visite!B117)))</f>
        <v/>
      </c>
      <c r="D414" s="0" t="str">
        <f aca="false">IF(B414="","",Visite!C117)</f>
        <v/>
      </c>
      <c r="E414" s="0" t="str">
        <f aca="false">IF(B414="","","Visita")</f>
        <v/>
      </c>
      <c r="F414" s="0" t="str">
        <f aca="false">""</f>
        <v/>
      </c>
    </row>
    <row r="415" customFormat="false" ht="15" hidden="false" customHeight="false" outlineLevel="0" collapsed="false">
      <c r="A415" s="0" t="str">
        <f aca="true">IF(B415="","",IF(B415&gt;=TODAY(),B415+ROW()/100000,""))</f>
        <v/>
      </c>
      <c r="B415" s="0" t="str">
        <f aca="false">IF(AND(Visite!A118&lt;&gt;"",Visite!E118&lt;&gt;"Completata",Visite!E118&lt;&gt;"Annullata"),Visite!A118,"")</f>
        <v/>
      </c>
      <c r="C415" s="0" t="str">
        <f aca="false">IF(B415="","","Visita"&amp;IF(Visite!D118="",""," · "&amp;Visite!D118)&amp;IF(Visite!B118="","",IF(ISNUMBER(Visite!B118)," · ore "&amp;TEXT(Visite!B118,"hh:mm")," · "&amp;Visite!B118)))</f>
        <v/>
      </c>
      <c r="D415" s="0" t="str">
        <f aca="false">IF(B415="","",Visite!C118)</f>
        <v/>
      </c>
      <c r="E415" s="0" t="str">
        <f aca="false">IF(B415="","","Visita")</f>
        <v/>
      </c>
      <c r="F415" s="0" t="str">
        <f aca="false">""</f>
        <v/>
      </c>
    </row>
    <row r="416" customFormat="false" ht="15" hidden="false" customHeight="false" outlineLevel="0" collapsed="false">
      <c r="A416" s="0" t="str">
        <f aca="true">IF(B416="","",IF(B416&gt;=TODAY(),B416+ROW()/100000,""))</f>
        <v/>
      </c>
      <c r="B416" s="0" t="str">
        <f aca="false">IF(AND(Visite!A119&lt;&gt;"",Visite!E119&lt;&gt;"Completata",Visite!E119&lt;&gt;"Annullata"),Visite!A119,"")</f>
        <v/>
      </c>
      <c r="C416" s="0" t="str">
        <f aca="false">IF(B416="","","Visita"&amp;IF(Visite!D119="",""," · "&amp;Visite!D119)&amp;IF(Visite!B119="","",IF(ISNUMBER(Visite!B119)," · ore "&amp;TEXT(Visite!B119,"hh:mm")," · "&amp;Visite!B119)))</f>
        <v/>
      </c>
      <c r="D416" s="0" t="str">
        <f aca="false">IF(B416="","",Visite!C119)</f>
        <v/>
      </c>
      <c r="E416" s="0" t="str">
        <f aca="false">IF(B416="","","Visita")</f>
        <v/>
      </c>
      <c r="F416" s="0" t="str">
        <f aca="false">""</f>
        <v/>
      </c>
    </row>
    <row r="417" customFormat="false" ht="15" hidden="false" customHeight="false" outlineLevel="0" collapsed="false">
      <c r="A417" s="0" t="str">
        <f aca="true">IF(B417="","",IF(B417&gt;=TODAY(),B417+ROW()/100000,""))</f>
        <v/>
      </c>
      <c r="B417" s="0" t="str">
        <f aca="false">IF(AND(Visite!A120&lt;&gt;"",Visite!E120&lt;&gt;"Completata",Visite!E120&lt;&gt;"Annullata"),Visite!A120,"")</f>
        <v/>
      </c>
      <c r="C417" s="0" t="str">
        <f aca="false">IF(B417="","","Visita"&amp;IF(Visite!D120="",""," · "&amp;Visite!D120)&amp;IF(Visite!B120="","",IF(ISNUMBER(Visite!B120)," · ore "&amp;TEXT(Visite!B120,"hh:mm")," · "&amp;Visite!B120)))</f>
        <v/>
      </c>
      <c r="D417" s="0" t="str">
        <f aca="false">IF(B417="","",Visite!C120)</f>
        <v/>
      </c>
      <c r="E417" s="0" t="str">
        <f aca="false">IF(B417="","","Visita")</f>
        <v/>
      </c>
      <c r="F417" s="0" t="str">
        <f aca="false">""</f>
        <v/>
      </c>
    </row>
    <row r="418" customFormat="false" ht="15" hidden="false" customHeight="false" outlineLevel="0" collapsed="false">
      <c r="A418" s="0" t="str">
        <f aca="true">IF(B418="","",IF(B418&gt;=TODAY(),B418+ROW()/100000,""))</f>
        <v/>
      </c>
      <c r="B418" s="0" t="str">
        <f aca="false">IF(AND(Visite!A121&lt;&gt;"",Visite!E121&lt;&gt;"Completata",Visite!E121&lt;&gt;"Annullata"),Visite!A121,"")</f>
        <v/>
      </c>
      <c r="C418" s="0" t="str">
        <f aca="false">IF(B418="","","Visita"&amp;IF(Visite!D121="",""," · "&amp;Visite!D121)&amp;IF(Visite!B121="","",IF(ISNUMBER(Visite!B121)," · ore "&amp;TEXT(Visite!B121,"hh:mm")," · "&amp;Visite!B121)))</f>
        <v/>
      </c>
      <c r="D418" s="0" t="str">
        <f aca="false">IF(B418="","",Visite!C121)</f>
        <v/>
      </c>
      <c r="E418" s="0" t="str">
        <f aca="false">IF(B418="","","Visita")</f>
        <v/>
      </c>
      <c r="F418" s="0" t="str">
        <f aca="false">""</f>
        <v/>
      </c>
    </row>
    <row r="419" customFormat="false" ht="15" hidden="false" customHeight="false" outlineLevel="0" collapsed="false">
      <c r="A419" s="0" t="str">
        <f aca="true">IF(B419="","",IF(B419&gt;=TODAY(),B419+ROW()/100000,""))</f>
        <v/>
      </c>
      <c r="B419" s="0" t="str">
        <f aca="false">IF(AND(Visite!A122&lt;&gt;"",Visite!E122&lt;&gt;"Completata",Visite!E122&lt;&gt;"Annullata"),Visite!A122,"")</f>
        <v/>
      </c>
      <c r="C419" s="0" t="str">
        <f aca="false">IF(B419="","","Visita"&amp;IF(Visite!D122="",""," · "&amp;Visite!D122)&amp;IF(Visite!B122="","",IF(ISNUMBER(Visite!B122)," · ore "&amp;TEXT(Visite!B122,"hh:mm")," · "&amp;Visite!B122)))</f>
        <v/>
      </c>
      <c r="D419" s="0" t="str">
        <f aca="false">IF(B419="","",Visite!C122)</f>
        <v/>
      </c>
      <c r="E419" s="0" t="str">
        <f aca="false">IF(B419="","","Visita")</f>
        <v/>
      </c>
      <c r="F419" s="0" t="str">
        <f aca="false">""</f>
        <v/>
      </c>
    </row>
    <row r="420" customFormat="false" ht="15" hidden="false" customHeight="false" outlineLevel="0" collapsed="false">
      <c r="A420" s="0" t="str">
        <f aca="true">IF(B420="","",IF(B420&gt;=TODAY(),B420+ROW()/100000,""))</f>
        <v/>
      </c>
      <c r="B420" s="0" t="str">
        <f aca="false">IF(AND(Visite!A123&lt;&gt;"",Visite!E123&lt;&gt;"Completata",Visite!E123&lt;&gt;"Annullata"),Visite!A123,"")</f>
        <v/>
      </c>
      <c r="C420" s="0" t="str">
        <f aca="false">IF(B420="","","Visita"&amp;IF(Visite!D123="",""," · "&amp;Visite!D123)&amp;IF(Visite!B123="","",IF(ISNUMBER(Visite!B123)," · ore "&amp;TEXT(Visite!B123,"hh:mm")," · "&amp;Visite!B123)))</f>
        <v/>
      </c>
      <c r="D420" s="0" t="str">
        <f aca="false">IF(B420="","",Visite!C123)</f>
        <v/>
      </c>
      <c r="E420" s="0" t="str">
        <f aca="false">IF(B420="","","Visita")</f>
        <v/>
      </c>
      <c r="F420" s="0" t="str">
        <f aca="false">""</f>
        <v/>
      </c>
    </row>
    <row r="421" customFormat="false" ht="15" hidden="false" customHeight="false" outlineLevel="0" collapsed="false">
      <c r="A421" s="0" t="str">
        <f aca="true">IF(B421="","",IF(B421&gt;=TODAY(),B421+ROW()/100000,""))</f>
        <v/>
      </c>
      <c r="B421" s="0" t="str">
        <f aca="false">IF(AND(Visite!A124&lt;&gt;"",Visite!E124&lt;&gt;"Completata",Visite!E124&lt;&gt;"Annullata"),Visite!A124,"")</f>
        <v/>
      </c>
      <c r="C421" s="0" t="str">
        <f aca="false">IF(B421="","","Visita"&amp;IF(Visite!D124="",""," · "&amp;Visite!D124)&amp;IF(Visite!B124="","",IF(ISNUMBER(Visite!B124)," · ore "&amp;TEXT(Visite!B124,"hh:mm")," · "&amp;Visite!B124)))</f>
        <v/>
      </c>
      <c r="D421" s="0" t="str">
        <f aca="false">IF(B421="","",Visite!C124)</f>
        <v/>
      </c>
      <c r="E421" s="0" t="str">
        <f aca="false">IF(B421="","","Visita")</f>
        <v/>
      </c>
      <c r="F421" s="0" t="str">
        <f aca="false">""</f>
        <v/>
      </c>
    </row>
    <row r="422" customFormat="false" ht="15" hidden="false" customHeight="false" outlineLevel="0" collapsed="false">
      <c r="A422" s="0" t="str">
        <f aca="true">IF(B422="","",IF(B422&gt;=TODAY(),B422+ROW()/100000,""))</f>
        <v/>
      </c>
      <c r="B422" s="0" t="str">
        <f aca="false">IF(AND(Visite!A125&lt;&gt;"",Visite!E125&lt;&gt;"Completata",Visite!E125&lt;&gt;"Annullata"),Visite!A125,"")</f>
        <v/>
      </c>
      <c r="C422" s="0" t="str">
        <f aca="false">IF(B422="","","Visita"&amp;IF(Visite!D125="",""," · "&amp;Visite!D125)&amp;IF(Visite!B125="","",IF(ISNUMBER(Visite!B125)," · ore "&amp;TEXT(Visite!B125,"hh:mm")," · "&amp;Visite!B125)))</f>
        <v/>
      </c>
      <c r="D422" s="0" t="str">
        <f aca="false">IF(B422="","",Visite!C125)</f>
        <v/>
      </c>
      <c r="E422" s="0" t="str">
        <f aca="false">IF(B422="","","Visita")</f>
        <v/>
      </c>
      <c r="F422" s="0" t="str">
        <f aca="false">""</f>
        <v/>
      </c>
    </row>
    <row r="423" customFormat="false" ht="15" hidden="false" customHeight="false" outlineLevel="0" collapsed="false">
      <c r="A423" s="0" t="str">
        <f aca="true">IF(B423="","",IF(B423&gt;=TODAY(),B423+ROW()/100000,""))</f>
        <v/>
      </c>
      <c r="B423" s="0" t="str">
        <f aca="false">IF(AND(Visite!A126&lt;&gt;"",Visite!E126&lt;&gt;"Completata",Visite!E126&lt;&gt;"Annullata"),Visite!A126,"")</f>
        <v/>
      </c>
      <c r="C423" s="0" t="str">
        <f aca="false">IF(B423="","","Visita"&amp;IF(Visite!D126="",""," · "&amp;Visite!D126)&amp;IF(Visite!B126="","",IF(ISNUMBER(Visite!B126)," · ore "&amp;TEXT(Visite!B126,"hh:mm")," · "&amp;Visite!B126)))</f>
        <v/>
      </c>
      <c r="D423" s="0" t="str">
        <f aca="false">IF(B423="","",Visite!C126)</f>
        <v/>
      </c>
      <c r="E423" s="0" t="str">
        <f aca="false">IF(B423="","","Visita")</f>
        <v/>
      </c>
      <c r="F423" s="0" t="str">
        <f aca="false">""</f>
        <v/>
      </c>
    </row>
    <row r="424" customFormat="false" ht="15" hidden="false" customHeight="false" outlineLevel="0" collapsed="false">
      <c r="A424" s="0" t="str">
        <f aca="true">IF(B424="","",IF(B424&gt;=TODAY(),B424+ROW()/100000,""))</f>
        <v/>
      </c>
      <c r="B424" s="0" t="str">
        <f aca="false">IF(AND(Visite!A127&lt;&gt;"",Visite!E127&lt;&gt;"Completata",Visite!E127&lt;&gt;"Annullata"),Visite!A127,"")</f>
        <v/>
      </c>
      <c r="C424" s="0" t="str">
        <f aca="false">IF(B424="","","Visita"&amp;IF(Visite!D127="",""," · "&amp;Visite!D127)&amp;IF(Visite!B127="","",IF(ISNUMBER(Visite!B127)," · ore "&amp;TEXT(Visite!B127,"hh:mm")," · "&amp;Visite!B127)))</f>
        <v/>
      </c>
      <c r="D424" s="0" t="str">
        <f aca="false">IF(B424="","",Visite!C127)</f>
        <v/>
      </c>
      <c r="E424" s="0" t="str">
        <f aca="false">IF(B424="","","Visita")</f>
        <v/>
      </c>
      <c r="F424" s="0" t="str">
        <f aca="false">""</f>
        <v/>
      </c>
    </row>
    <row r="425" customFormat="false" ht="15" hidden="false" customHeight="false" outlineLevel="0" collapsed="false">
      <c r="A425" s="0" t="str">
        <f aca="true">IF(B425="","",IF(B425&gt;=TODAY(),B425+ROW()/100000,""))</f>
        <v/>
      </c>
      <c r="B425" s="0" t="str">
        <f aca="false">IF(AND(Visite!A128&lt;&gt;"",Visite!E128&lt;&gt;"Completata",Visite!E128&lt;&gt;"Annullata"),Visite!A128,"")</f>
        <v/>
      </c>
      <c r="C425" s="0" t="str">
        <f aca="false">IF(B425="","","Visita"&amp;IF(Visite!D128="",""," · "&amp;Visite!D128)&amp;IF(Visite!B128="","",IF(ISNUMBER(Visite!B128)," · ore "&amp;TEXT(Visite!B128,"hh:mm")," · "&amp;Visite!B128)))</f>
        <v/>
      </c>
      <c r="D425" s="0" t="str">
        <f aca="false">IF(B425="","",Visite!C128)</f>
        <v/>
      </c>
      <c r="E425" s="0" t="str">
        <f aca="false">IF(B425="","","Visita")</f>
        <v/>
      </c>
      <c r="F425" s="0" t="str">
        <f aca="false">""</f>
        <v/>
      </c>
    </row>
    <row r="426" customFormat="false" ht="15" hidden="false" customHeight="false" outlineLevel="0" collapsed="false">
      <c r="A426" s="0" t="str">
        <f aca="true">IF(B426="","",IF(B426&gt;=TODAY(),B426+ROW()/100000,""))</f>
        <v/>
      </c>
      <c r="B426" s="0" t="str">
        <f aca="false">IF(AND(Visite!A129&lt;&gt;"",Visite!E129&lt;&gt;"Completata",Visite!E129&lt;&gt;"Annullata"),Visite!A129,"")</f>
        <v/>
      </c>
      <c r="C426" s="0" t="str">
        <f aca="false">IF(B426="","","Visita"&amp;IF(Visite!D129="",""," · "&amp;Visite!D129)&amp;IF(Visite!B129="","",IF(ISNUMBER(Visite!B129)," · ore "&amp;TEXT(Visite!B129,"hh:mm")," · "&amp;Visite!B129)))</f>
        <v/>
      </c>
      <c r="D426" s="0" t="str">
        <f aca="false">IF(B426="","",Visite!C129)</f>
        <v/>
      </c>
      <c r="E426" s="0" t="str">
        <f aca="false">IF(B426="","","Visita")</f>
        <v/>
      </c>
      <c r="F426" s="0" t="str">
        <f aca="false">""</f>
        <v/>
      </c>
    </row>
    <row r="427" customFormat="false" ht="15" hidden="false" customHeight="false" outlineLevel="0" collapsed="false">
      <c r="A427" s="0" t="str">
        <f aca="true">IF(B427="","",IF(B427&gt;=TODAY(),B427+ROW()/100000,""))</f>
        <v/>
      </c>
      <c r="B427" s="0" t="str">
        <f aca="false">IF(AND(Visite!A130&lt;&gt;"",Visite!E130&lt;&gt;"Completata",Visite!E130&lt;&gt;"Annullata"),Visite!A130,"")</f>
        <v/>
      </c>
      <c r="C427" s="0" t="str">
        <f aca="false">IF(B427="","","Visita"&amp;IF(Visite!D130="",""," · "&amp;Visite!D130)&amp;IF(Visite!B130="","",IF(ISNUMBER(Visite!B130)," · ore "&amp;TEXT(Visite!B130,"hh:mm")," · "&amp;Visite!B130)))</f>
        <v/>
      </c>
      <c r="D427" s="0" t="str">
        <f aca="false">IF(B427="","",Visite!C130)</f>
        <v/>
      </c>
      <c r="E427" s="0" t="str">
        <f aca="false">IF(B427="","","Visita")</f>
        <v/>
      </c>
      <c r="F427" s="0" t="str">
        <f aca="false">""</f>
        <v/>
      </c>
    </row>
    <row r="428" customFormat="false" ht="15" hidden="false" customHeight="false" outlineLevel="0" collapsed="false">
      <c r="A428" s="0" t="str">
        <f aca="true">IF(B428="","",IF(B428&gt;=TODAY(),B428+ROW()/100000,""))</f>
        <v/>
      </c>
      <c r="B428" s="0" t="str">
        <f aca="false">IF(AND(Visite!A131&lt;&gt;"",Visite!E131&lt;&gt;"Completata",Visite!E131&lt;&gt;"Annullata"),Visite!A131,"")</f>
        <v/>
      </c>
      <c r="C428" s="0" t="str">
        <f aca="false">IF(B428="","","Visita"&amp;IF(Visite!D131="",""," · "&amp;Visite!D131)&amp;IF(Visite!B131="","",IF(ISNUMBER(Visite!B131)," · ore "&amp;TEXT(Visite!B131,"hh:mm")," · "&amp;Visite!B131)))</f>
        <v/>
      </c>
      <c r="D428" s="0" t="str">
        <f aca="false">IF(B428="","",Visite!C131)</f>
        <v/>
      </c>
      <c r="E428" s="0" t="str">
        <f aca="false">IF(B428="","","Visita")</f>
        <v/>
      </c>
      <c r="F428" s="0" t="str">
        <f aca="false">""</f>
        <v/>
      </c>
    </row>
    <row r="429" customFormat="false" ht="15" hidden="false" customHeight="false" outlineLevel="0" collapsed="false">
      <c r="A429" s="0" t="str">
        <f aca="true">IF(B429="","",IF(B429&gt;=TODAY(),B429+ROW()/100000,""))</f>
        <v/>
      </c>
      <c r="B429" s="0" t="str">
        <f aca="false">IF(AND(Visite!A132&lt;&gt;"",Visite!E132&lt;&gt;"Completata",Visite!E132&lt;&gt;"Annullata"),Visite!A132,"")</f>
        <v/>
      </c>
      <c r="C429" s="0" t="str">
        <f aca="false">IF(B429="","","Visita"&amp;IF(Visite!D132="",""," · "&amp;Visite!D132)&amp;IF(Visite!B132="","",IF(ISNUMBER(Visite!B132)," · ore "&amp;TEXT(Visite!B132,"hh:mm")," · "&amp;Visite!B132)))</f>
        <v/>
      </c>
      <c r="D429" s="0" t="str">
        <f aca="false">IF(B429="","",Visite!C132)</f>
        <v/>
      </c>
      <c r="E429" s="0" t="str">
        <f aca="false">IF(B429="","","Visita")</f>
        <v/>
      </c>
      <c r="F429" s="0" t="str">
        <f aca="false">""</f>
        <v/>
      </c>
    </row>
    <row r="430" customFormat="false" ht="15" hidden="false" customHeight="false" outlineLevel="0" collapsed="false">
      <c r="A430" s="0" t="str">
        <f aca="true">IF(B430="","",IF(B430&gt;=TODAY(),B430+ROW()/100000,""))</f>
        <v/>
      </c>
      <c r="B430" s="0" t="str">
        <f aca="false">IF(AND(Visite!A133&lt;&gt;"",Visite!E133&lt;&gt;"Completata",Visite!E133&lt;&gt;"Annullata"),Visite!A133,"")</f>
        <v/>
      </c>
      <c r="C430" s="0" t="str">
        <f aca="false">IF(B430="","","Visita"&amp;IF(Visite!D133="",""," · "&amp;Visite!D133)&amp;IF(Visite!B133="","",IF(ISNUMBER(Visite!B133)," · ore "&amp;TEXT(Visite!B133,"hh:mm")," · "&amp;Visite!B133)))</f>
        <v/>
      </c>
      <c r="D430" s="0" t="str">
        <f aca="false">IF(B430="","",Visite!C133)</f>
        <v/>
      </c>
      <c r="E430" s="0" t="str">
        <f aca="false">IF(B430="","","Visita")</f>
        <v/>
      </c>
      <c r="F430" s="0" t="str">
        <f aca="false">""</f>
        <v/>
      </c>
    </row>
    <row r="431" customFormat="false" ht="15" hidden="false" customHeight="false" outlineLevel="0" collapsed="false">
      <c r="A431" s="0" t="str">
        <f aca="true">IF(B431="","",IF(B431&gt;=TODAY(),B431+ROW()/100000,""))</f>
        <v/>
      </c>
      <c r="B431" s="0" t="str">
        <f aca="false">IF(AND(Visite!A134&lt;&gt;"",Visite!E134&lt;&gt;"Completata",Visite!E134&lt;&gt;"Annullata"),Visite!A134,"")</f>
        <v/>
      </c>
      <c r="C431" s="0" t="str">
        <f aca="false">IF(B431="","","Visita"&amp;IF(Visite!D134="",""," · "&amp;Visite!D134)&amp;IF(Visite!B134="","",IF(ISNUMBER(Visite!B134)," · ore "&amp;TEXT(Visite!B134,"hh:mm")," · "&amp;Visite!B134)))</f>
        <v/>
      </c>
      <c r="D431" s="0" t="str">
        <f aca="false">IF(B431="","",Visite!C134)</f>
        <v/>
      </c>
      <c r="E431" s="0" t="str">
        <f aca="false">IF(B431="","","Visita")</f>
        <v/>
      </c>
      <c r="F431" s="0" t="str">
        <f aca="false">""</f>
        <v/>
      </c>
    </row>
    <row r="432" customFormat="false" ht="15" hidden="false" customHeight="false" outlineLevel="0" collapsed="false">
      <c r="A432" s="0" t="str">
        <f aca="true">IF(B432="","",IF(B432&gt;=TODAY(),B432+ROW()/100000,""))</f>
        <v/>
      </c>
      <c r="B432" s="0" t="str">
        <f aca="false">IF(AND(Visite!A135&lt;&gt;"",Visite!E135&lt;&gt;"Completata",Visite!E135&lt;&gt;"Annullata"),Visite!A135,"")</f>
        <v/>
      </c>
      <c r="C432" s="0" t="str">
        <f aca="false">IF(B432="","","Visita"&amp;IF(Visite!D135="",""," · "&amp;Visite!D135)&amp;IF(Visite!B135="","",IF(ISNUMBER(Visite!B135)," · ore "&amp;TEXT(Visite!B135,"hh:mm")," · "&amp;Visite!B135)))</f>
        <v/>
      </c>
      <c r="D432" s="0" t="str">
        <f aca="false">IF(B432="","",Visite!C135)</f>
        <v/>
      </c>
      <c r="E432" s="0" t="str">
        <f aca="false">IF(B432="","","Visita")</f>
        <v/>
      </c>
      <c r="F432" s="0" t="str">
        <f aca="false">""</f>
        <v/>
      </c>
    </row>
    <row r="433" customFormat="false" ht="15" hidden="false" customHeight="false" outlineLevel="0" collapsed="false">
      <c r="A433" s="0" t="str">
        <f aca="true">IF(B433="","",IF(B433&gt;=TODAY(),B433+ROW()/100000,""))</f>
        <v/>
      </c>
      <c r="B433" s="0" t="str">
        <f aca="false">IF(AND(Visite!A136&lt;&gt;"",Visite!E136&lt;&gt;"Completata",Visite!E136&lt;&gt;"Annullata"),Visite!A136,"")</f>
        <v/>
      </c>
      <c r="C433" s="0" t="str">
        <f aca="false">IF(B433="","","Visita"&amp;IF(Visite!D136="",""," · "&amp;Visite!D136)&amp;IF(Visite!B136="","",IF(ISNUMBER(Visite!B136)," · ore "&amp;TEXT(Visite!B136,"hh:mm")," · "&amp;Visite!B136)))</f>
        <v/>
      </c>
      <c r="D433" s="0" t="str">
        <f aca="false">IF(B433="","",Visite!C136)</f>
        <v/>
      </c>
      <c r="E433" s="0" t="str">
        <f aca="false">IF(B433="","","Visita")</f>
        <v/>
      </c>
      <c r="F433" s="0" t="str">
        <f aca="false">""</f>
        <v/>
      </c>
    </row>
    <row r="434" customFormat="false" ht="15" hidden="false" customHeight="false" outlineLevel="0" collapsed="false">
      <c r="A434" s="0" t="str">
        <f aca="true">IF(B434="","",IF(B434&gt;=TODAY(),B434+ROW()/100000,""))</f>
        <v/>
      </c>
      <c r="B434" s="0" t="str">
        <f aca="false">IF(AND(Visite!A137&lt;&gt;"",Visite!E137&lt;&gt;"Completata",Visite!E137&lt;&gt;"Annullata"),Visite!A137,"")</f>
        <v/>
      </c>
      <c r="C434" s="0" t="str">
        <f aca="false">IF(B434="","","Visita"&amp;IF(Visite!D137="",""," · "&amp;Visite!D137)&amp;IF(Visite!B137="","",IF(ISNUMBER(Visite!B137)," · ore "&amp;TEXT(Visite!B137,"hh:mm")," · "&amp;Visite!B137)))</f>
        <v/>
      </c>
      <c r="D434" s="0" t="str">
        <f aca="false">IF(B434="","",Visite!C137)</f>
        <v/>
      </c>
      <c r="E434" s="0" t="str">
        <f aca="false">IF(B434="","","Visita")</f>
        <v/>
      </c>
      <c r="F434" s="0" t="str">
        <f aca="false">""</f>
        <v/>
      </c>
    </row>
    <row r="435" customFormat="false" ht="15" hidden="false" customHeight="false" outlineLevel="0" collapsed="false">
      <c r="A435" s="0" t="str">
        <f aca="true">IF(B435="","",IF(B435&gt;=TODAY(),B435+ROW()/100000,""))</f>
        <v/>
      </c>
      <c r="B435" s="0" t="str">
        <f aca="false">IF(AND(Visite!A138&lt;&gt;"",Visite!E138&lt;&gt;"Completata",Visite!E138&lt;&gt;"Annullata"),Visite!A138,"")</f>
        <v/>
      </c>
      <c r="C435" s="0" t="str">
        <f aca="false">IF(B435="","","Visita"&amp;IF(Visite!D138="",""," · "&amp;Visite!D138)&amp;IF(Visite!B138="","",IF(ISNUMBER(Visite!B138)," · ore "&amp;TEXT(Visite!B138,"hh:mm")," · "&amp;Visite!B138)))</f>
        <v/>
      </c>
      <c r="D435" s="0" t="str">
        <f aca="false">IF(B435="","",Visite!C138)</f>
        <v/>
      </c>
      <c r="E435" s="0" t="str">
        <f aca="false">IF(B435="","","Visita")</f>
        <v/>
      </c>
      <c r="F435" s="0" t="str">
        <f aca="false">""</f>
        <v/>
      </c>
    </row>
    <row r="436" customFormat="false" ht="15" hidden="false" customHeight="false" outlineLevel="0" collapsed="false">
      <c r="A436" s="0" t="str">
        <f aca="true">IF(B436="","",IF(B436&gt;=TODAY(),B436+ROW()/100000,""))</f>
        <v/>
      </c>
      <c r="B436" s="0" t="str">
        <f aca="false">IF(AND(Visite!A139&lt;&gt;"",Visite!E139&lt;&gt;"Completata",Visite!E139&lt;&gt;"Annullata"),Visite!A139,"")</f>
        <v/>
      </c>
      <c r="C436" s="0" t="str">
        <f aca="false">IF(B436="","","Visita"&amp;IF(Visite!D139="",""," · "&amp;Visite!D139)&amp;IF(Visite!B139="","",IF(ISNUMBER(Visite!B139)," · ore "&amp;TEXT(Visite!B139,"hh:mm")," · "&amp;Visite!B139)))</f>
        <v/>
      </c>
      <c r="D436" s="0" t="str">
        <f aca="false">IF(B436="","",Visite!C139)</f>
        <v/>
      </c>
      <c r="E436" s="0" t="str">
        <f aca="false">IF(B436="","","Visita")</f>
        <v/>
      </c>
      <c r="F436" s="0" t="str">
        <f aca="false">""</f>
        <v/>
      </c>
    </row>
    <row r="437" customFormat="false" ht="15" hidden="false" customHeight="false" outlineLevel="0" collapsed="false">
      <c r="A437" s="0" t="str">
        <f aca="true">IF(B437="","",IF(B437&gt;=TODAY(),B437+ROW()/100000,""))</f>
        <v/>
      </c>
      <c r="B437" s="0" t="str">
        <f aca="false">IF(AND(Visite!A140&lt;&gt;"",Visite!E140&lt;&gt;"Completata",Visite!E140&lt;&gt;"Annullata"),Visite!A140,"")</f>
        <v/>
      </c>
      <c r="C437" s="0" t="str">
        <f aca="false">IF(B437="","","Visita"&amp;IF(Visite!D140="",""," · "&amp;Visite!D140)&amp;IF(Visite!B140="","",IF(ISNUMBER(Visite!B140)," · ore "&amp;TEXT(Visite!B140,"hh:mm")," · "&amp;Visite!B140)))</f>
        <v/>
      </c>
      <c r="D437" s="0" t="str">
        <f aca="false">IF(B437="","",Visite!C140)</f>
        <v/>
      </c>
      <c r="E437" s="0" t="str">
        <f aca="false">IF(B437="","","Visita")</f>
        <v/>
      </c>
      <c r="F437" s="0" t="str">
        <f aca="false">""</f>
        <v/>
      </c>
    </row>
    <row r="438" customFormat="false" ht="15" hidden="false" customHeight="false" outlineLevel="0" collapsed="false">
      <c r="A438" s="0" t="str">
        <f aca="true">IF(B438="","",IF(B438&gt;=TODAY(),B438+ROW()/100000,""))</f>
        <v/>
      </c>
      <c r="B438" s="0" t="str">
        <f aca="false">IF(AND(Visite!A141&lt;&gt;"",Visite!E141&lt;&gt;"Completata",Visite!E141&lt;&gt;"Annullata"),Visite!A141,"")</f>
        <v/>
      </c>
      <c r="C438" s="0" t="str">
        <f aca="false">IF(B438="","","Visita"&amp;IF(Visite!D141="",""," · "&amp;Visite!D141)&amp;IF(Visite!B141="","",IF(ISNUMBER(Visite!B141)," · ore "&amp;TEXT(Visite!B141,"hh:mm")," · "&amp;Visite!B141)))</f>
        <v/>
      </c>
      <c r="D438" s="0" t="str">
        <f aca="false">IF(B438="","",Visite!C141)</f>
        <v/>
      </c>
      <c r="E438" s="0" t="str">
        <f aca="false">IF(B438="","","Visita")</f>
        <v/>
      </c>
      <c r="F438" s="0" t="str">
        <f aca="false">""</f>
        <v/>
      </c>
    </row>
    <row r="439" customFormat="false" ht="15" hidden="false" customHeight="false" outlineLevel="0" collapsed="false">
      <c r="A439" s="0" t="str">
        <f aca="true">IF(B439="","",IF(B439&gt;=TODAY(),B439+ROW()/100000,""))</f>
        <v/>
      </c>
      <c r="B439" s="0" t="str">
        <f aca="false">IF(AND(Visite!A142&lt;&gt;"",Visite!E142&lt;&gt;"Completata",Visite!E142&lt;&gt;"Annullata"),Visite!A142,"")</f>
        <v/>
      </c>
      <c r="C439" s="0" t="str">
        <f aca="false">IF(B439="","","Visita"&amp;IF(Visite!D142="",""," · "&amp;Visite!D142)&amp;IF(Visite!B142="","",IF(ISNUMBER(Visite!B142)," · ore "&amp;TEXT(Visite!B142,"hh:mm")," · "&amp;Visite!B142)))</f>
        <v/>
      </c>
      <c r="D439" s="0" t="str">
        <f aca="false">IF(B439="","",Visite!C142)</f>
        <v/>
      </c>
      <c r="E439" s="0" t="str">
        <f aca="false">IF(B439="","","Visita")</f>
        <v/>
      </c>
      <c r="F439" s="0" t="str">
        <f aca="false">""</f>
        <v/>
      </c>
    </row>
    <row r="440" customFormat="false" ht="15" hidden="false" customHeight="false" outlineLevel="0" collapsed="false">
      <c r="A440" s="0" t="str">
        <f aca="true">IF(B440="","",IF(B440&gt;=TODAY(),B440+ROW()/100000,""))</f>
        <v/>
      </c>
      <c r="B440" s="0" t="str">
        <f aca="false">IF(AND(Visite!A143&lt;&gt;"",Visite!E143&lt;&gt;"Completata",Visite!E143&lt;&gt;"Annullata"),Visite!A143,"")</f>
        <v/>
      </c>
      <c r="C440" s="0" t="str">
        <f aca="false">IF(B440="","","Visita"&amp;IF(Visite!D143="",""," · "&amp;Visite!D143)&amp;IF(Visite!B143="","",IF(ISNUMBER(Visite!B143)," · ore "&amp;TEXT(Visite!B143,"hh:mm")," · "&amp;Visite!B143)))</f>
        <v/>
      </c>
      <c r="D440" s="0" t="str">
        <f aca="false">IF(B440="","",Visite!C143)</f>
        <v/>
      </c>
      <c r="E440" s="0" t="str">
        <f aca="false">IF(B440="","","Visita")</f>
        <v/>
      </c>
      <c r="F440" s="0" t="str">
        <f aca="false">""</f>
        <v/>
      </c>
    </row>
    <row r="441" customFormat="false" ht="15" hidden="false" customHeight="false" outlineLevel="0" collapsed="false">
      <c r="A441" s="0" t="str">
        <f aca="true">IF(B441="","",IF(B441&gt;=TODAY(),B441+ROW()/100000,""))</f>
        <v/>
      </c>
      <c r="B441" s="0" t="str">
        <f aca="false">IF(AND(Visite!A144&lt;&gt;"",Visite!E144&lt;&gt;"Completata",Visite!E144&lt;&gt;"Annullata"),Visite!A144,"")</f>
        <v/>
      </c>
      <c r="C441" s="0" t="str">
        <f aca="false">IF(B441="","","Visita"&amp;IF(Visite!D144="",""," · "&amp;Visite!D144)&amp;IF(Visite!B144="","",IF(ISNUMBER(Visite!B144)," · ore "&amp;TEXT(Visite!B144,"hh:mm")," · "&amp;Visite!B144)))</f>
        <v/>
      </c>
      <c r="D441" s="0" t="str">
        <f aca="false">IF(B441="","",Visite!C144)</f>
        <v/>
      </c>
      <c r="E441" s="0" t="str">
        <f aca="false">IF(B441="","","Visita")</f>
        <v/>
      </c>
      <c r="F441" s="0" t="str">
        <f aca="false">""</f>
        <v/>
      </c>
    </row>
    <row r="442" customFormat="false" ht="15" hidden="false" customHeight="false" outlineLevel="0" collapsed="false">
      <c r="A442" s="0" t="str">
        <f aca="true">IF(B442="","",IF(B442&gt;=TODAY(),B442+ROW()/100000,""))</f>
        <v/>
      </c>
      <c r="B442" s="0" t="str">
        <f aca="false">IF(AND(Visite!A145&lt;&gt;"",Visite!E145&lt;&gt;"Completata",Visite!E145&lt;&gt;"Annullata"),Visite!A145,"")</f>
        <v/>
      </c>
      <c r="C442" s="0" t="str">
        <f aca="false">IF(B442="","","Visita"&amp;IF(Visite!D145="",""," · "&amp;Visite!D145)&amp;IF(Visite!B145="","",IF(ISNUMBER(Visite!B145)," · ore "&amp;TEXT(Visite!B145,"hh:mm")," · "&amp;Visite!B145)))</f>
        <v/>
      </c>
      <c r="D442" s="0" t="str">
        <f aca="false">IF(B442="","",Visite!C145)</f>
        <v/>
      </c>
      <c r="E442" s="0" t="str">
        <f aca="false">IF(B442="","","Visita")</f>
        <v/>
      </c>
      <c r="F442" s="0" t="str">
        <f aca="false">""</f>
        <v/>
      </c>
    </row>
    <row r="443" customFormat="false" ht="15" hidden="false" customHeight="false" outlineLevel="0" collapsed="false">
      <c r="A443" s="0" t="str">
        <f aca="true">IF(B443="","",IF(B443&gt;=TODAY(),B443+ROW()/100000,""))</f>
        <v/>
      </c>
      <c r="B443" s="0" t="str">
        <f aca="false">IF(AND(Visite!A146&lt;&gt;"",Visite!E146&lt;&gt;"Completata",Visite!E146&lt;&gt;"Annullata"),Visite!A146,"")</f>
        <v/>
      </c>
      <c r="C443" s="0" t="str">
        <f aca="false">IF(B443="","","Visita"&amp;IF(Visite!D146="",""," · "&amp;Visite!D146)&amp;IF(Visite!B146="","",IF(ISNUMBER(Visite!B146)," · ore "&amp;TEXT(Visite!B146,"hh:mm")," · "&amp;Visite!B146)))</f>
        <v/>
      </c>
      <c r="D443" s="0" t="str">
        <f aca="false">IF(B443="","",Visite!C146)</f>
        <v/>
      </c>
      <c r="E443" s="0" t="str">
        <f aca="false">IF(B443="","","Visita")</f>
        <v/>
      </c>
      <c r="F443" s="0" t="str">
        <f aca="false">""</f>
        <v/>
      </c>
    </row>
    <row r="444" customFormat="false" ht="15" hidden="false" customHeight="false" outlineLevel="0" collapsed="false">
      <c r="A444" s="0" t="str">
        <f aca="true">IF(B444="","",IF(B444&gt;=TODAY(),B444+ROW()/100000,""))</f>
        <v/>
      </c>
      <c r="B444" s="0" t="str">
        <f aca="false">IF(AND(Visite!A147&lt;&gt;"",Visite!E147&lt;&gt;"Completata",Visite!E147&lt;&gt;"Annullata"),Visite!A147,"")</f>
        <v/>
      </c>
      <c r="C444" s="0" t="str">
        <f aca="false">IF(B444="","","Visita"&amp;IF(Visite!D147="",""," · "&amp;Visite!D147)&amp;IF(Visite!B147="","",IF(ISNUMBER(Visite!B147)," · ore "&amp;TEXT(Visite!B147,"hh:mm")," · "&amp;Visite!B147)))</f>
        <v/>
      </c>
      <c r="D444" s="0" t="str">
        <f aca="false">IF(B444="","",Visite!C147)</f>
        <v/>
      </c>
      <c r="E444" s="0" t="str">
        <f aca="false">IF(B444="","","Visita")</f>
        <v/>
      </c>
      <c r="F444" s="0" t="str">
        <f aca="false">""</f>
        <v/>
      </c>
    </row>
    <row r="445" customFormat="false" ht="15" hidden="false" customHeight="false" outlineLevel="0" collapsed="false">
      <c r="A445" s="0" t="str">
        <f aca="true">IF(B445="","",IF(B445&gt;=TODAY(),B445+ROW()/100000,""))</f>
        <v/>
      </c>
      <c r="B445" s="0" t="str">
        <f aca="false">IF(AND(Visite!A148&lt;&gt;"",Visite!E148&lt;&gt;"Completata",Visite!E148&lt;&gt;"Annullata"),Visite!A148,"")</f>
        <v/>
      </c>
      <c r="C445" s="0" t="str">
        <f aca="false">IF(B445="","","Visita"&amp;IF(Visite!D148="",""," · "&amp;Visite!D148)&amp;IF(Visite!B148="","",IF(ISNUMBER(Visite!B148)," · ore "&amp;TEXT(Visite!B148,"hh:mm")," · "&amp;Visite!B148)))</f>
        <v/>
      </c>
      <c r="D445" s="0" t="str">
        <f aca="false">IF(B445="","",Visite!C148)</f>
        <v/>
      </c>
      <c r="E445" s="0" t="str">
        <f aca="false">IF(B445="","","Visita")</f>
        <v/>
      </c>
      <c r="F445" s="0" t="str">
        <f aca="false">""</f>
        <v/>
      </c>
    </row>
    <row r="446" customFormat="false" ht="15" hidden="false" customHeight="false" outlineLevel="0" collapsed="false">
      <c r="A446" s="0" t="str">
        <f aca="true">IF(B446="","",IF(B446&gt;=TODAY(),B446+ROW()/100000,""))</f>
        <v/>
      </c>
      <c r="B446" s="0" t="str">
        <f aca="false">IF(AND(Visite!A149&lt;&gt;"",Visite!E149&lt;&gt;"Completata",Visite!E149&lt;&gt;"Annullata"),Visite!A149,"")</f>
        <v/>
      </c>
      <c r="C446" s="0" t="str">
        <f aca="false">IF(B446="","","Visita"&amp;IF(Visite!D149="",""," · "&amp;Visite!D149)&amp;IF(Visite!B149="","",IF(ISNUMBER(Visite!B149)," · ore "&amp;TEXT(Visite!B149,"hh:mm")," · "&amp;Visite!B149)))</f>
        <v/>
      </c>
      <c r="D446" s="0" t="str">
        <f aca="false">IF(B446="","",Visite!C149)</f>
        <v/>
      </c>
      <c r="E446" s="0" t="str">
        <f aca="false">IF(B446="","","Visita")</f>
        <v/>
      </c>
      <c r="F446" s="0" t="str">
        <f aca="false">""</f>
        <v/>
      </c>
    </row>
    <row r="447" customFormat="false" ht="15" hidden="false" customHeight="false" outlineLevel="0" collapsed="false">
      <c r="A447" s="0" t="str">
        <f aca="true">IF(B447="","",IF(B447&gt;=TODAY(),B447+ROW()/100000,""))</f>
        <v/>
      </c>
      <c r="B447" s="0" t="str">
        <f aca="false">IF(AND(Visite!A150&lt;&gt;"",Visite!E150&lt;&gt;"Completata",Visite!E150&lt;&gt;"Annullata"),Visite!A150,"")</f>
        <v/>
      </c>
      <c r="C447" s="0" t="str">
        <f aca="false">IF(B447="","","Visita"&amp;IF(Visite!D150="",""," · "&amp;Visite!D150)&amp;IF(Visite!B150="","",IF(ISNUMBER(Visite!B150)," · ore "&amp;TEXT(Visite!B150,"hh:mm")," · "&amp;Visite!B150)))</f>
        <v/>
      </c>
      <c r="D447" s="0" t="str">
        <f aca="false">IF(B447="","",Visite!C150)</f>
        <v/>
      </c>
      <c r="E447" s="0" t="str">
        <f aca="false">IF(B447="","","Visita")</f>
        <v/>
      </c>
      <c r="F447" s="0" t="str">
        <f aca="false">""</f>
        <v/>
      </c>
    </row>
    <row r="448" customFormat="false" ht="15" hidden="false" customHeight="false" outlineLevel="0" collapsed="false">
      <c r="A448" s="0" t="str">
        <f aca="true">IF(B448="","",IF(B448&gt;=TODAY(),B448+ROW()/100000,""))</f>
        <v/>
      </c>
      <c r="B448" s="0" t="str">
        <f aca="false">IF(AND(Visite!A151&lt;&gt;"",Visite!E151&lt;&gt;"Completata",Visite!E151&lt;&gt;"Annullata"),Visite!A151,"")</f>
        <v/>
      </c>
      <c r="C448" s="0" t="str">
        <f aca="false">IF(B448="","","Visita"&amp;IF(Visite!D151="",""," · "&amp;Visite!D151)&amp;IF(Visite!B151="","",IF(ISNUMBER(Visite!B151)," · ore "&amp;TEXT(Visite!B151,"hh:mm")," · "&amp;Visite!B151)))</f>
        <v/>
      </c>
      <c r="D448" s="0" t="str">
        <f aca="false">IF(B448="","",Visite!C151)</f>
        <v/>
      </c>
      <c r="E448" s="0" t="str">
        <f aca="false">IF(B448="","","Visita")</f>
        <v/>
      </c>
      <c r="F448" s="0" t="str">
        <f aca="false">""</f>
        <v/>
      </c>
    </row>
    <row r="449" customFormat="false" ht="15" hidden="false" customHeight="false" outlineLevel="0" collapsed="false">
      <c r="A449" s="0" t="str">
        <f aca="true">IF(B449="","",IF(B449&gt;=TODAY(),B449+ROW()/100000,""))</f>
        <v/>
      </c>
      <c r="B449" s="0" t="str">
        <f aca="false">IF(AND(Visite!A152&lt;&gt;"",Visite!E152&lt;&gt;"Completata",Visite!E152&lt;&gt;"Annullata"),Visite!A152,"")</f>
        <v/>
      </c>
      <c r="C449" s="0" t="str">
        <f aca="false">IF(B449="","","Visita"&amp;IF(Visite!D152="",""," · "&amp;Visite!D152)&amp;IF(Visite!B152="","",IF(ISNUMBER(Visite!B152)," · ore "&amp;TEXT(Visite!B152,"hh:mm")," · "&amp;Visite!B152)))</f>
        <v/>
      </c>
      <c r="D449" s="0" t="str">
        <f aca="false">IF(B449="","",Visite!C152)</f>
        <v/>
      </c>
      <c r="E449" s="0" t="str">
        <f aca="false">IF(B449="","","Visita")</f>
        <v/>
      </c>
      <c r="F449" s="0" t="str">
        <f aca="false">""</f>
        <v/>
      </c>
    </row>
    <row r="450" customFormat="false" ht="15" hidden="false" customHeight="false" outlineLevel="0" collapsed="false">
      <c r="A450" s="0" t="str">
        <f aca="true">IF(B450="","",IF(B450&gt;=TODAY(),B450+ROW()/100000,""))</f>
        <v/>
      </c>
      <c r="B450" s="0" t="str">
        <f aca="false">IF(AND(Visite!A153&lt;&gt;"",Visite!E153&lt;&gt;"Completata",Visite!E153&lt;&gt;"Annullata"),Visite!A153,"")</f>
        <v/>
      </c>
      <c r="C450" s="0" t="str">
        <f aca="false">IF(B450="","","Visita"&amp;IF(Visite!D153="",""," · "&amp;Visite!D153)&amp;IF(Visite!B153="","",IF(ISNUMBER(Visite!B153)," · ore "&amp;TEXT(Visite!B153,"hh:mm")," · "&amp;Visite!B153)))</f>
        <v/>
      </c>
      <c r="D450" s="0" t="str">
        <f aca="false">IF(B450="","",Visite!C153)</f>
        <v/>
      </c>
      <c r="E450" s="0" t="str">
        <f aca="false">IF(B450="","","Visita")</f>
        <v/>
      </c>
      <c r="F450" s="0" t="str">
        <f aca="false">""</f>
        <v/>
      </c>
    </row>
    <row r="451" customFormat="false" ht="15" hidden="false" customHeight="false" outlineLevel="0" collapsed="false">
      <c r="A451" s="0" t="str">
        <f aca="true">IF(B451="","",IF(B451&gt;=TODAY(),B451+ROW()/100000,""))</f>
        <v/>
      </c>
      <c r="B451" s="0" t="str">
        <f aca="false">IF(AND(Visite!A154&lt;&gt;"",Visite!E154&lt;&gt;"Completata",Visite!E154&lt;&gt;"Annullata"),Visite!A154,"")</f>
        <v/>
      </c>
      <c r="C451" s="0" t="str">
        <f aca="false">IF(B451="","","Visita"&amp;IF(Visite!D154="",""," · "&amp;Visite!D154)&amp;IF(Visite!B154="","",IF(ISNUMBER(Visite!B154)," · ore "&amp;TEXT(Visite!B154,"hh:mm")," · "&amp;Visite!B154)))</f>
        <v/>
      </c>
      <c r="D451" s="0" t="str">
        <f aca="false">IF(B451="","",Visite!C154)</f>
        <v/>
      </c>
      <c r="E451" s="0" t="str">
        <f aca="false">IF(B451="","","Visita")</f>
        <v/>
      </c>
      <c r="F451" s="0" t="str">
        <f aca="false">""</f>
        <v/>
      </c>
    </row>
    <row r="452" customFormat="false" ht="15" hidden="false" customHeight="false" outlineLevel="0" collapsed="false">
      <c r="A452" s="0" t="str">
        <f aca="true">IF(B452="","",IF(B452&gt;=TODAY(),B452+ROW()/100000,""))</f>
        <v/>
      </c>
      <c r="B452" s="0" t="str">
        <f aca="false">IF(AND(Visite!A155&lt;&gt;"",Visite!E155&lt;&gt;"Completata",Visite!E155&lt;&gt;"Annullata"),Visite!A155,"")</f>
        <v/>
      </c>
      <c r="C452" s="0" t="str">
        <f aca="false">IF(B452="","","Visita"&amp;IF(Visite!D155="",""," · "&amp;Visite!D155)&amp;IF(Visite!B155="","",IF(ISNUMBER(Visite!B155)," · ore "&amp;TEXT(Visite!B155,"hh:mm")," · "&amp;Visite!B155)))</f>
        <v/>
      </c>
      <c r="D452" s="0" t="str">
        <f aca="false">IF(B452="","",Visite!C155)</f>
        <v/>
      </c>
      <c r="E452" s="0" t="str">
        <f aca="false">IF(B452="","","Visita")</f>
        <v/>
      </c>
      <c r="F452" s="0" t="str">
        <f aca="false">""</f>
        <v/>
      </c>
    </row>
    <row r="453" customFormat="false" ht="15" hidden="false" customHeight="false" outlineLevel="0" collapsed="false">
      <c r="A453" s="0" t="str">
        <f aca="true">IF(B453="","",IF(B453&gt;=TODAY(),B453+ROW()/100000,""))</f>
        <v/>
      </c>
      <c r="B453" s="0" t="str">
        <f aca="false">IF(AND(Visite!A156&lt;&gt;"",Visite!E156&lt;&gt;"Completata",Visite!E156&lt;&gt;"Annullata"),Visite!A156,"")</f>
        <v/>
      </c>
      <c r="C453" s="0" t="str">
        <f aca="false">IF(B453="","","Visita"&amp;IF(Visite!D156="",""," · "&amp;Visite!D156)&amp;IF(Visite!B156="","",IF(ISNUMBER(Visite!B156)," · ore "&amp;TEXT(Visite!B156,"hh:mm")," · "&amp;Visite!B156)))</f>
        <v/>
      </c>
      <c r="D453" s="0" t="str">
        <f aca="false">IF(B453="","",Visite!C156)</f>
        <v/>
      </c>
      <c r="E453" s="0" t="str">
        <f aca="false">IF(B453="","","Visita")</f>
        <v/>
      </c>
      <c r="F453" s="0" t="str">
        <f aca="false">""</f>
        <v/>
      </c>
    </row>
    <row r="454" customFormat="false" ht="15" hidden="false" customHeight="false" outlineLevel="0" collapsed="false">
      <c r="A454" s="0" t="str">
        <f aca="true">IF(B454="","",IF(B454&gt;=TODAY(),B454+ROW()/100000,""))</f>
        <v/>
      </c>
      <c r="B454" s="0" t="str">
        <f aca="false">IF(AND(Visite!A157&lt;&gt;"",Visite!E157&lt;&gt;"Completata",Visite!E157&lt;&gt;"Annullata"),Visite!A157,"")</f>
        <v/>
      </c>
      <c r="C454" s="0" t="str">
        <f aca="false">IF(B454="","","Visita"&amp;IF(Visite!D157="",""," · "&amp;Visite!D157)&amp;IF(Visite!B157="","",IF(ISNUMBER(Visite!B157)," · ore "&amp;TEXT(Visite!B157,"hh:mm")," · "&amp;Visite!B157)))</f>
        <v/>
      </c>
      <c r="D454" s="0" t="str">
        <f aca="false">IF(B454="","",Visite!C157)</f>
        <v/>
      </c>
      <c r="E454" s="0" t="str">
        <f aca="false">IF(B454="","","Visita")</f>
        <v/>
      </c>
      <c r="F454" s="0" t="str">
        <f aca="false">""</f>
        <v/>
      </c>
    </row>
    <row r="455" customFormat="false" ht="15" hidden="false" customHeight="false" outlineLevel="0" collapsed="false">
      <c r="A455" s="0" t="str">
        <f aca="true">IF(B455="","",IF(B455&gt;=TODAY(),B455+ROW()/100000,""))</f>
        <v/>
      </c>
      <c r="B455" s="0" t="str">
        <f aca="false">IF(AND(Visite!A158&lt;&gt;"",Visite!E158&lt;&gt;"Completata",Visite!E158&lt;&gt;"Annullata"),Visite!A158,"")</f>
        <v/>
      </c>
      <c r="C455" s="0" t="str">
        <f aca="false">IF(B455="","","Visita"&amp;IF(Visite!D158="",""," · "&amp;Visite!D158)&amp;IF(Visite!B158="","",IF(ISNUMBER(Visite!B158)," · ore "&amp;TEXT(Visite!B158,"hh:mm")," · "&amp;Visite!B158)))</f>
        <v/>
      </c>
      <c r="D455" s="0" t="str">
        <f aca="false">IF(B455="","",Visite!C158)</f>
        <v/>
      </c>
      <c r="E455" s="0" t="str">
        <f aca="false">IF(B455="","","Visita")</f>
        <v/>
      </c>
      <c r="F455" s="0" t="str">
        <f aca="false">""</f>
        <v/>
      </c>
    </row>
    <row r="456" customFormat="false" ht="15" hidden="false" customHeight="false" outlineLevel="0" collapsed="false">
      <c r="A456" s="0" t="str">
        <f aca="true">IF(B456="","",IF(B456&gt;=TODAY(),B456+ROW()/100000,""))</f>
        <v/>
      </c>
      <c r="B456" s="0" t="str">
        <f aca="false">IF(AND(Visite!A159&lt;&gt;"",Visite!E159&lt;&gt;"Completata",Visite!E159&lt;&gt;"Annullata"),Visite!A159,"")</f>
        <v/>
      </c>
      <c r="C456" s="0" t="str">
        <f aca="false">IF(B456="","","Visita"&amp;IF(Visite!D159="",""," · "&amp;Visite!D159)&amp;IF(Visite!B159="","",IF(ISNUMBER(Visite!B159)," · ore "&amp;TEXT(Visite!B159,"hh:mm")," · "&amp;Visite!B159)))</f>
        <v/>
      </c>
      <c r="D456" s="0" t="str">
        <f aca="false">IF(B456="","",Visite!C159)</f>
        <v/>
      </c>
      <c r="E456" s="0" t="str">
        <f aca="false">IF(B456="","","Visita")</f>
        <v/>
      </c>
      <c r="F456" s="0" t="str">
        <f aca="false">""</f>
        <v/>
      </c>
    </row>
    <row r="457" customFormat="false" ht="15" hidden="false" customHeight="false" outlineLevel="0" collapsed="false">
      <c r="A457" s="0" t="str">
        <f aca="true">IF(B457="","",IF(B457&gt;=TODAY(),B457+ROW()/100000,""))</f>
        <v/>
      </c>
      <c r="B457" s="0" t="str">
        <f aca="false">IF(AND(Visite!A160&lt;&gt;"",Visite!E160&lt;&gt;"Completata",Visite!E160&lt;&gt;"Annullata"),Visite!A160,"")</f>
        <v/>
      </c>
      <c r="C457" s="0" t="str">
        <f aca="false">IF(B457="","","Visita"&amp;IF(Visite!D160="",""," · "&amp;Visite!D160)&amp;IF(Visite!B160="","",IF(ISNUMBER(Visite!B160)," · ore "&amp;TEXT(Visite!B160,"hh:mm")," · "&amp;Visite!B160)))</f>
        <v/>
      </c>
      <c r="D457" s="0" t="str">
        <f aca="false">IF(B457="","",Visite!C160)</f>
        <v/>
      </c>
      <c r="E457" s="0" t="str">
        <f aca="false">IF(B457="","","Visita")</f>
        <v/>
      </c>
      <c r="F457" s="0" t="str">
        <f aca="false">""</f>
        <v/>
      </c>
    </row>
    <row r="458" customFormat="false" ht="15" hidden="false" customHeight="false" outlineLevel="0" collapsed="false">
      <c r="A458" s="0" t="str">
        <f aca="true">IF(B458="","",IF(B458&gt;=TODAY(),B458+ROW()/100000,""))</f>
        <v/>
      </c>
      <c r="B458" s="0" t="str">
        <f aca="false">IF(AND(Visite!A161&lt;&gt;"",Visite!E161&lt;&gt;"Completata",Visite!E161&lt;&gt;"Annullata"),Visite!A161,"")</f>
        <v/>
      </c>
      <c r="C458" s="0" t="str">
        <f aca="false">IF(B458="","","Visita"&amp;IF(Visite!D161="",""," · "&amp;Visite!D161)&amp;IF(Visite!B161="","",IF(ISNUMBER(Visite!B161)," · ore "&amp;TEXT(Visite!B161,"hh:mm")," · "&amp;Visite!B161)))</f>
        <v/>
      </c>
      <c r="D458" s="0" t="str">
        <f aca="false">IF(B458="","",Visite!C161)</f>
        <v/>
      </c>
      <c r="E458" s="0" t="str">
        <f aca="false">IF(B458="","","Visita")</f>
        <v/>
      </c>
      <c r="F458" s="0" t="str">
        <f aca="false">""</f>
        <v/>
      </c>
    </row>
    <row r="459" customFormat="false" ht="15" hidden="false" customHeight="false" outlineLevel="0" collapsed="false">
      <c r="A459" s="0" t="str">
        <f aca="true">IF(B459="","",IF(B459&gt;=TODAY(),B459+ROW()/100000,""))</f>
        <v/>
      </c>
      <c r="B459" s="0" t="str">
        <f aca="false">IF(AND(Visite!A162&lt;&gt;"",Visite!E162&lt;&gt;"Completata",Visite!E162&lt;&gt;"Annullata"),Visite!A162,"")</f>
        <v/>
      </c>
      <c r="C459" s="0" t="str">
        <f aca="false">IF(B459="","","Visita"&amp;IF(Visite!D162="",""," · "&amp;Visite!D162)&amp;IF(Visite!B162="","",IF(ISNUMBER(Visite!B162)," · ore "&amp;TEXT(Visite!B162,"hh:mm")," · "&amp;Visite!B162)))</f>
        <v/>
      </c>
      <c r="D459" s="0" t="str">
        <f aca="false">IF(B459="","",Visite!C162)</f>
        <v/>
      </c>
      <c r="E459" s="0" t="str">
        <f aca="false">IF(B459="","","Visita")</f>
        <v/>
      </c>
      <c r="F459" s="0" t="str">
        <f aca="false">""</f>
        <v/>
      </c>
    </row>
    <row r="460" customFormat="false" ht="15" hidden="false" customHeight="false" outlineLevel="0" collapsed="false">
      <c r="A460" s="0" t="str">
        <f aca="true">IF(B460="","",IF(B460&gt;=TODAY(),B460+ROW()/100000,""))</f>
        <v/>
      </c>
      <c r="B460" s="0" t="str">
        <f aca="false">IF(AND(Visite!A163&lt;&gt;"",Visite!E163&lt;&gt;"Completata",Visite!E163&lt;&gt;"Annullata"),Visite!A163,"")</f>
        <v/>
      </c>
      <c r="C460" s="0" t="str">
        <f aca="false">IF(B460="","","Visita"&amp;IF(Visite!D163="",""," · "&amp;Visite!D163)&amp;IF(Visite!B163="","",IF(ISNUMBER(Visite!B163)," · ore "&amp;TEXT(Visite!B163,"hh:mm")," · "&amp;Visite!B163)))</f>
        <v/>
      </c>
      <c r="D460" s="0" t="str">
        <f aca="false">IF(B460="","",Visite!C163)</f>
        <v/>
      </c>
      <c r="E460" s="0" t="str">
        <f aca="false">IF(B460="","","Visita")</f>
        <v/>
      </c>
      <c r="F460" s="0" t="str">
        <f aca="false">""</f>
        <v/>
      </c>
    </row>
    <row r="461" customFormat="false" ht="15" hidden="false" customHeight="false" outlineLevel="0" collapsed="false">
      <c r="A461" s="0" t="str">
        <f aca="true">IF(B461="","",IF(B461&gt;=TODAY(),B461+ROW()/100000,""))</f>
        <v/>
      </c>
      <c r="B461" s="0" t="str">
        <f aca="false">IF(AND(Visite!A164&lt;&gt;"",Visite!E164&lt;&gt;"Completata",Visite!E164&lt;&gt;"Annullata"),Visite!A164,"")</f>
        <v/>
      </c>
      <c r="C461" s="0" t="str">
        <f aca="false">IF(B461="","","Visita"&amp;IF(Visite!D164="",""," · "&amp;Visite!D164)&amp;IF(Visite!B164="","",IF(ISNUMBER(Visite!B164)," · ore "&amp;TEXT(Visite!B164,"hh:mm")," · "&amp;Visite!B164)))</f>
        <v/>
      </c>
      <c r="D461" s="0" t="str">
        <f aca="false">IF(B461="","",Visite!C164)</f>
        <v/>
      </c>
      <c r="E461" s="0" t="str">
        <f aca="false">IF(B461="","","Visita")</f>
        <v/>
      </c>
      <c r="F461" s="0" t="str">
        <f aca="false">""</f>
        <v/>
      </c>
    </row>
    <row r="462" customFormat="false" ht="15" hidden="false" customHeight="false" outlineLevel="0" collapsed="false">
      <c r="A462" s="0" t="str">
        <f aca="true">IF(B462="","",IF(B462&gt;=TODAY(),B462+ROW()/100000,""))</f>
        <v/>
      </c>
      <c r="B462" s="0" t="str">
        <f aca="false">IF(AND(Visite!A165&lt;&gt;"",Visite!E165&lt;&gt;"Completata",Visite!E165&lt;&gt;"Annullata"),Visite!A165,"")</f>
        <v/>
      </c>
      <c r="C462" s="0" t="str">
        <f aca="false">IF(B462="","","Visita"&amp;IF(Visite!D165="",""," · "&amp;Visite!D165)&amp;IF(Visite!B165="","",IF(ISNUMBER(Visite!B165)," · ore "&amp;TEXT(Visite!B165,"hh:mm")," · "&amp;Visite!B165)))</f>
        <v/>
      </c>
      <c r="D462" s="0" t="str">
        <f aca="false">IF(B462="","",Visite!C165)</f>
        <v/>
      </c>
      <c r="E462" s="0" t="str">
        <f aca="false">IF(B462="","","Visita")</f>
        <v/>
      </c>
      <c r="F462" s="0" t="str">
        <f aca="false">""</f>
        <v/>
      </c>
    </row>
    <row r="463" customFormat="false" ht="15" hidden="false" customHeight="false" outlineLevel="0" collapsed="false">
      <c r="A463" s="0" t="str">
        <f aca="true">IF(B463="","",IF(B463&gt;=TODAY(),B463+ROW()/100000,""))</f>
        <v/>
      </c>
      <c r="B463" s="0" t="str">
        <f aca="false">IF(AND(Visite!A166&lt;&gt;"",Visite!E166&lt;&gt;"Completata",Visite!E166&lt;&gt;"Annullata"),Visite!A166,"")</f>
        <v/>
      </c>
      <c r="C463" s="0" t="str">
        <f aca="false">IF(B463="","","Visita"&amp;IF(Visite!D166="",""," · "&amp;Visite!D166)&amp;IF(Visite!B166="","",IF(ISNUMBER(Visite!B166)," · ore "&amp;TEXT(Visite!B166,"hh:mm")," · "&amp;Visite!B166)))</f>
        <v/>
      </c>
      <c r="D463" s="0" t="str">
        <f aca="false">IF(B463="","",Visite!C166)</f>
        <v/>
      </c>
      <c r="E463" s="0" t="str">
        <f aca="false">IF(B463="","","Visita")</f>
        <v/>
      </c>
      <c r="F463" s="0" t="str">
        <f aca="false">""</f>
        <v/>
      </c>
    </row>
    <row r="464" customFormat="false" ht="15" hidden="false" customHeight="false" outlineLevel="0" collapsed="false">
      <c r="A464" s="0" t="str">
        <f aca="true">IF(B464="","",IF(B464&gt;=TODAY(),B464+ROW()/100000,""))</f>
        <v/>
      </c>
      <c r="B464" s="0" t="str">
        <f aca="false">IF(AND(Visite!A167&lt;&gt;"",Visite!E167&lt;&gt;"Completata",Visite!E167&lt;&gt;"Annullata"),Visite!A167,"")</f>
        <v/>
      </c>
      <c r="C464" s="0" t="str">
        <f aca="false">IF(B464="","","Visita"&amp;IF(Visite!D167="",""," · "&amp;Visite!D167)&amp;IF(Visite!B167="","",IF(ISNUMBER(Visite!B167)," · ore "&amp;TEXT(Visite!B167,"hh:mm")," · "&amp;Visite!B167)))</f>
        <v/>
      </c>
      <c r="D464" s="0" t="str">
        <f aca="false">IF(B464="","",Visite!C167)</f>
        <v/>
      </c>
      <c r="E464" s="0" t="str">
        <f aca="false">IF(B464="","","Visita")</f>
        <v/>
      </c>
      <c r="F464" s="0" t="str">
        <f aca="false">""</f>
        <v/>
      </c>
    </row>
    <row r="465" customFormat="false" ht="15" hidden="false" customHeight="false" outlineLevel="0" collapsed="false">
      <c r="A465" s="0" t="str">
        <f aca="true">IF(B465="","",IF(B465&gt;=TODAY(),B465+ROW()/100000,""))</f>
        <v/>
      </c>
      <c r="B465" s="0" t="str">
        <f aca="false">IF(AND(Visite!A168&lt;&gt;"",Visite!E168&lt;&gt;"Completata",Visite!E168&lt;&gt;"Annullata"),Visite!A168,"")</f>
        <v/>
      </c>
      <c r="C465" s="0" t="str">
        <f aca="false">IF(B465="","","Visita"&amp;IF(Visite!D168="",""," · "&amp;Visite!D168)&amp;IF(Visite!B168="","",IF(ISNUMBER(Visite!B168)," · ore "&amp;TEXT(Visite!B168,"hh:mm")," · "&amp;Visite!B168)))</f>
        <v/>
      </c>
      <c r="D465" s="0" t="str">
        <f aca="false">IF(B465="","",Visite!C168)</f>
        <v/>
      </c>
      <c r="E465" s="0" t="str">
        <f aca="false">IF(B465="","","Visita")</f>
        <v/>
      </c>
      <c r="F465" s="0" t="str">
        <f aca="false">""</f>
        <v/>
      </c>
    </row>
    <row r="466" customFormat="false" ht="15" hidden="false" customHeight="false" outlineLevel="0" collapsed="false">
      <c r="A466" s="0" t="str">
        <f aca="true">IF(B466="","",IF(B466&gt;=TODAY(),B466+ROW()/100000,""))</f>
        <v/>
      </c>
      <c r="B466" s="0" t="str">
        <f aca="false">IF(AND(Visite!A169&lt;&gt;"",Visite!E169&lt;&gt;"Completata",Visite!E169&lt;&gt;"Annullata"),Visite!A169,"")</f>
        <v/>
      </c>
      <c r="C466" s="0" t="str">
        <f aca="false">IF(B466="","","Visita"&amp;IF(Visite!D169="",""," · "&amp;Visite!D169)&amp;IF(Visite!B169="","",IF(ISNUMBER(Visite!B169)," · ore "&amp;TEXT(Visite!B169,"hh:mm")," · "&amp;Visite!B169)))</f>
        <v/>
      </c>
      <c r="D466" s="0" t="str">
        <f aca="false">IF(B466="","",Visite!C169)</f>
        <v/>
      </c>
      <c r="E466" s="0" t="str">
        <f aca="false">IF(B466="","","Visita")</f>
        <v/>
      </c>
      <c r="F466" s="0" t="str">
        <f aca="false">""</f>
        <v/>
      </c>
    </row>
    <row r="467" customFormat="false" ht="15" hidden="false" customHeight="false" outlineLevel="0" collapsed="false">
      <c r="A467" s="0" t="str">
        <f aca="true">IF(B467="","",IF(B467&gt;=TODAY(),B467+ROW()/100000,""))</f>
        <v/>
      </c>
      <c r="B467" s="0" t="str">
        <f aca="false">IF(AND(Visite!A170&lt;&gt;"",Visite!E170&lt;&gt;"Completata",Visite!E170&lt;&gt;"Annullata"),Visite!A170,"")</f>
        <v/>
      </c>
      <c r="C467" s="0" t="str">
        <f aca="false">IF(B467="","","Visita"&amp;IF(Visite!D170="",""," · "&amp;Visite!D170)&amp;IF(Visite!B170="","",IF(ISNUMBER(Visite!B170)," · ore "&amp;TEXT(Visite!B170,"hh:mm")," · "&amp;Visite!B170)))</f>
        <v/>
      </c>
      <c r="D467" s="0" t="str">
        <f aca="false">IF(B467="","",Visite!C170)</f>
        <v/>
      </c>
      <c r="E467" s="0" t="str">
        <f aca="false">IF(B467="","","Visita")</f>
        <v/>
      </c>
      <c r="F467" s="0" t="str">
        <f aca="false">""</f>
        <v/>
      </c>
    </row>
    <row r="468" customFormat="false" ht="15" hidden="false" customHeight="false" outlineLevel="0" collapsed="false">
      <c r="A468" s="0" t="str">
        <f aca="true">IF(B468="","",IF(B468&gt;=TODAY(),B468+ROW()/100000,""))</f>
        <v/>
      </c>
      <c r="B468" s="0" t="str">
        <f aca="false">IF(AND(Visite!A171&lt;&gt;"",Visite!E171&lt;&gt;"Completata",Visite!E171&lt;&gt;"Annullata"),Visite!A171,"")</f>
        <v/>
      </c>
      <c r="C468" s="0" t="str">
        <f aca="false">IF(B468="","","Visita"&amp;IF(Visite!D171="",""," · "&amp;Visite!D171)&amp;IF(Visite!B171="","",IF(ISNUMBER(Visite!B171)," · ore "&amp;TEXT(Visite!B171,"hh:mm")," · "&amp;Visite!B171)))</f>
        <v/>
      </c>
      <c r="D468" s="0" t="str">
        <f aca="false">IF(B468="","",Visite!C171)</f>
        <v/>
      </c>
      <c r="E468" s="0" t="str">
        <f aca="false">IF(B468="","","Visita")</f>
        <v/>
      </c>
      <c r="F468" s="0" t="str">
        <f aca="false">""</f>
        <v/>
      </c>
    </row>
    <row r="469" customFormat="false" ht="15" hidden="false" customHeight="false" outlineLevel="0" collapsed="false">
      <c r="A469" s="0" t="str">
        <f aca="true">IF(B469="","",IF(B469&gt;=TODAY(),B469+ROW()/100000,""))</f>
        <v/>
      </c>
      <c r="B469" s="0" t="str">
        <f aca="false">IF(AND(Visite!A172&lt;&gt;"",Visite!E172&lt;&gt;"Completata",Visite!E172&lt;&gt;"Annullata"),Visite!A172,"")</f>
        <v/>
      </c>
      <c r="C469" s="0" t="str">
        <f aca="false">IF(B469="","","Visita"&amp;IF(Visite!D172="",""," · "&amp;Visite!D172)&amp;IF(Visite!B172="","",IF(ISNUMBER(Visite!B172)," · ore "&amp;TEXT(Visite!B172,"hh:mm")," · "&amp;Visite!B172)))</f>
        <v/>
      </c>
      <c r="D469" s="0" t="str">
        <f aca="false">IF(B469="","",Visite!C172)</f>
        <v/>
      </c>
      <c r="E469" s="0" t="str">
        <f aca="false">IF(B469="","","Visita")</f>
        <v/>
      </c>
      <c r="F469" s="0" t="str">
        <f aca="false">""</f>
        <v/>
      </c>
    </row>
    <row r="470" customFormat="false" ht="15" hidden="false" customHeight="false" outlineLevel="0" collapsed="false">
      <c r="A470" s="0" t="str">
        <f aca="true">IF(B470="","",IF(B470&gt;=TODAY(),B470+ROW()/100000,""))</f>
        <v/>
      </c>
      <c r="B470" s="0" t="str">
        <f aca="false">IF(AND(Visite!A173&lt;&gt;"",Visite!E173&lt;&gt;"Completata",Visite!E173&lt;&gt;"Annullata"),Visite!A173,"")</f>
        <v/>
      </c>
      <c r="C470" s="0" t="str">
        <f aca="false">IF(B470="","","Visita"&amp;IF(Visite!D173="",""," · "&amp;Visite!D173)&amp;IF(Visite!B173="","",IF(ISNUMBER(Visite!B173)," · ore "&amp;TEXT(Visite!B173,"hh:mm")," · "&amp;Visite!B173)))</f>
        <v/>
      </c>
      <c r="D470" s="0" t="str">
        <f aca="false">IF(B470="","",Visite!C173)</f>
        <v/>
      </c>
      <c r="E470" s="0" t="str">
        <f aca="false">IF(B470="","","Visita")</f>
        <v/>
      </c>
      <c r="F470" s="0" t="str">
        <f aca="false">""</f>
        <v/>
      </c>
    </row>
    <row r="471" customFormat="false" ht="15" hidden="false" customHeight="false" outlineLevel="0" collapsed="false">
      <c r="A471" s="0" t="str">
        <f aca="true">IF(B471="","",IF(B471&gt;=TODAY(),B471+ROW()/100000,""))</f>
        <v/>
      </c>
      <c r="B471" s="0" t="str">
        <f aca="false">IF(AND(Visite!A174&lt;&gt;"",Visite!E174&lt;&gt;"Completata",Visite!E174&lt;&gt;"Annullata"),Visite!A174,"")</f>
        <v/>
      </c>
      <c r="C471" s="0" t="str">
        <f aca="false">IF(B471="","","Visita"&amp;IF(Visite!D174="",""," · "&amp;Visite!D174)&amp;IF(Visite!B174="","",IF(ISNUMBER(Visite!B174)," · ore "&amp;TEXT(Visite!B174,"hh:mm")," · "&amp;Visite!B174)))</f>
        <v/>
      </c>
      <c r="D471" s="0" t="str">
        <f aca="false">IF(B471="","",Visite!C174)</f>
        <v/>
      </c>
      <c r="E471" s="0" t="str">
        <f aca="false">IF(B471="","","Visita")</f>
        <v/>
      </c>
      <c r="F471" s="0" t="str">
        <f aca="false">""</f>
        <v/>
      </c>
    </row>
    <row r="472" customFormat="false" ht="15" hidden="false" customHeight="false" outlineLevel="0" collapsed="false">
      <c r="A472" s="0" t="str">
        <f aca="true">IF(B472="","",IF(B472&gt;=TODAY(),B472+ROW()/100000,""))</f>
        <v/>
      </c>
      <c r="B472" s="0" t="str">
        <f aca="false">IF(AND(Visite!A175&lt;&gt;"",Visite!E175&lt;&gt;"Completata",Visite!E175&lt;&gt;"Annullata"),Visite!A175,"")</f>
        <v/>
      </c>
      <c r="C472" s="0" t="str">
        <f aca="false">IF(B472="","","Visita"&amp;IF(Visite!D175="",""," · "&amp;Visite!D175)&amp;IF(Visite!B175="","",IF(ISNUMBER(Visite!B175)," · ore "&amp;TEXT(Visite!B175,"hh:mm")," · "&amp;Visite!B175)))</f>
        <v/>
      </c>
      <c r="D472" s="0" t="str">
        <f aca="false">IF(B472="","",Visite!C175)</f>
        <v/>
      </c>
      <c r="E472" s="0" t="str">
        <f aca="false">IF(B472="","","Visita")</f>
        <v/>
      </c>
      <c r="F472" s="0" t="str">
        <f aca="false">""</f>
        <v/>
      </c>
    </row>
    <row r="473" customFormat="false" ht="15" hidden="false" customHeight="false" outlineLevel="0" collapsed="false">
      <c r="A473" s="0" t="str">
        <f aca="true">IF(B473="","",IF(B473&gt;=TODAY(),B473+ROW()/100000,""))</f>
        <v/>
      </c>
      <c r="B473" s="0" t="str">
        <f aca="false">IF(AND(Visite!A176&lt;&gt;"",Visite!E176&lt;&gt;"Completata",Visite!E176&lt;&gt;"Annullata"),Visite!A176,"")</f>
        <v/>
      </c>
      <c r="C473" s="0" t="str">
        <f aca="false">IF(B473="","","Visita"&amp;IF(Visite!D176="",""," · "&amp;Visite!D176)&amp;IF(Visite!B176="","",IF(ISNUMBER(Visite!B176)," · ore "&amp;TEXT(Visite!B176,"hh:mm")," · "&amp;Visite!B176)))</f>
        <v/>
      </c>
      <c r="D473" s="0" t="str">
        <f aca="false">IF(B473="","",Visite!C176)</f>
        <v/>
      </c>
      <c r="E473" s="0" t="str">
        <f aca="false">IF(B473="","","Visita")</f>
        <v/>
      </c>
      <c r="F473" s="0" t="str">
        <f aca="false">""</f>
        <v/>
      </c>
    </row>
    <row r="474" customFormat="false" ht="15" hidden="false" customHeight="false" outlineLevel="0" collapsed="false">
      <c r="A474" s="0" t="str">
        <f aca="true">IF(B474="","",IF(B474&gt;=TODAY(),B474+ROW()/100000,""))</f>
        <v/>
      </c>
      <c r="B474" s="0" t="str">
        <f aca="false">IF(AND(Visite!A177&lt;&gt;"",Visite!E177&lt;&gt;"Completata",Visite!E177&lt;&gt;"Annullata"),Visite!A177,"")</f>
        <v/>
      </c>
      <c r="C474" s="0" t="str">
        <f aca="false">IF(B474="","","Visita"&amp;IF(Visite!D177="",""," · "&amp;Visite!D177)&amp;IF(Visite!B177="","",IF(ISNUMBER(Visite!B177)," · ore "&amp;TEXT(Visite!B177,"hh:mm")," · "&amp;Visite!B177)))</f>
        <v/>
      </c>
      <c r="D474" s="0" t="str">
        <f aca="false">IF(B474="","",Visite!C177)</f>
        <v/>
      </c>
      <c r="E474" s="0" t="str">
        <f aca="false">IF(B474="","","Visita")</f>
        <v/>
      </c>
      <c r="F474" s="0" t="str">
        <f aca="false">""</f>
        <v/>
      </c>
    </row>
    <row r="475" customFormat="false" ht="15" hidden="false" customHeight="false" outlineLevel="0" collapsed="false">
      <c r="A475" s="0" t="str">
        <f aca="true">IF(B475="","",IF(B475&gt;=TODAY(),B475+ROW()/100000,""))</f>
        <v/>
      </c>
      <c r="B475" s="0" t="str">
        <f aca="false">IF(AND(Visite!A178&lt;&gt;"",Visite!E178&lt;&gt;"Completata",Visite!E178&lt;&gt;"Annullata"),Visite!A178,"")</f>
        <v/>
      </c>
      <c r="C475" s="0" t="str">
        <f aca="false">IF(B475="","","Visita"&amp;IF(Visite!D178="",""," · "&amp;Visite!D178)&amp;IF(Visite!B178="","",IF(ISNUMBER(Visite!B178)," · ore "&amp;TEXT(Visite!B178,"hh:mm")," · "&amp;Visite!B178)))</f>
        <v/>
      </c>
      <c r="D475" s="0" t="str">
        <f aca="false">IF(B475="","",Visite!C178)</f>
        <v/>
      </c>
      <c r="E475" s="0" t="str">
        <f aca="false">IF(B475="","","Visita")</f>
        <v/>
      </c>
      <c r="F475" s="0" t="str">
        <f aca="false">""</f>
        <v/>
      </c>
    </row>
    <row r="476" customFormat="false" ht="15" hidden="false" customHeight="false" outlineLevel="0" collapsed="false">
      <c r="A476" s="0" t="str">
        <f aca="true">IF(B476="","",IF(B476&gt;=TODAY(),B476+ROW()/100000,""))</f>
        <v/>
      </c>
      <c r="B476" s="0" t="str">
        <f aca="false">IF(AND(Visite!A179&lt;&gt;"",Visite!E179&lt;&gt;"Completata",Visite!E179&lt;&gt;"Annullata"),Visite!A179,"")</f>
        <v/>
      </c>
      <c r="C476" s="0" t="str">
        <f aca="false">IF(B476="","","Visita"&amp;IF(Visite!D179="",""," · "&amp;Visite!D179)&amp;IF(Visite!B179="","",IF(ISNUMBER(Visite!B179)," · ore "&amp;TEXT(Visite!B179,"hh:mm")," · "&amp;Visite!B179)))</f>
        <v/>
      </c>
      <c r="D476" s="0" t="str">
        <f aca="false">IF(B476="","",Visite!C179)</f>
        <v/>
      </c>
      <c r="E476" s="0" t="str">
        <f aca="false">IF(B476="","","Visita")</f>
        <v/>
      </c>
      <c r="F476" s="0" t="str">
        <f aca="false">""</f>
        <v/>
      </c>
    </row>
    <row r="477" customFormat="false" ht="15" hidden="false" customHeight="false" outlineLevel="0" collapsed="false">
      <c r="A477" s="0" t="str">
        <f aca="true">IF(B477="","",IF(B477&gt;=TODAY(),B477+ROW()/100000,""))</f>
        <v/>
      </c>
      <c r="B477" s="0" t="str">
        <f aca="false">IF(AND(Visite!A180&lt;&gt;"",Visite!E180&lt;&gt;"Completata",Visite!E180&lt;&gt;"Annullata"),Visite!A180,"")</f>
        <v/>
      </c>
      <c r="C477" s="0" t="str">
        <f aca="false">IF(B477="","","Visita"&amp;IF(Visite!D180="",""," · "&amp;Visite!D180)&amp;IF(Visite!B180="","",IF(ISNUMBER(Visite!B180)," · ore "&amp;TEXT(Visite!B180,"hh:mm")," · "&amp;Visite!B180)))</f>
        <v/>
      </c>
      <c r="D477" s="0" t="str">
        <f aca="false">IF(B477="","",Visite!C180)</f>
        <v/>
      </c>
      <c r="E477" s="0" t="str">
        <f aca="false">IF(B477="","","Visita")</f>
        <v/>
      </c>
      <c r="F477" s="0" t="str">
        <f aca="false">""</f>
        <v/>
      </c>
    </row>
    <row r="478" customFormat="false" ht="15" hidden="false" customHeight="false" outlineLevel="0" collapsed="false">
      <c r="A478" s="0" t="str">
        <f aca="true">IF(B478="","",IF(B478&gt;=TODAY(),B478+ROW()/100000,""))</f>
        <v/>
      </c>
      <c r="B478" s="0" t="str">
        <f aca="false">IF(AND(Visite!A181&lt;&gt;"",Visite!E181&lt;&gt;"Completata",Visite!E181&lt;&gt;"Annullata"),Visite!A181,"")</f>
        <v/>
      </c>
      <c r="C478" s="0" t="str">
        <f aca="false">IF(B478="","","Visita"&amp;IF(Visite!D181="",""," · "&amp;Visite!D181)&amp;IF(Visite!B181="","",IF(ISNUMBER(Visite!B181)," · ore "&amp;TEXT(Visite!B181,"hh:mm")," · "&amp;Visite!B181)))</f>
        <v/>
      </c>
      <c r="D478" s="0" t="str">
        <f aca="false">IF(B478="","",Visite!C181)</f>
        <v/>
      </c>
      <c r="E478" s="0" t="str">
        <f aca="false">IF(B478="","","Visita")</f>
        <v/>
      </c>
      <c r="F478" s="0" t="str">
        <f aca="false">""</f>
        <v/>
      </c>
    </row>
    <row r="479" customFormat="false" ht="15" hidden="false" customHeight="false" outlineLevel="0" collapsed="false">
      <c r="A479" s="0" t="str">
        <f aca="true">IF(B479="","",IF(B479&gt;=TODAY(),B479+ROW()/100000,""))</f>
        <v/>
      </c>
      <c r="B479" s="0" t="str">
        <f aca="false">IF(AND(Visite!A182&lt;&gt;"",Visite!E182&lt;&gt;"Completata",Visite!E182&lt;&gt;"Annullata"),Visite!A182,"")</f>
        <v/>
      </c>
      <c r="C479" s="0" t="str">
        <f aca="false">IF(B479="","","Visita"&amp;IF(Visite!D182="",""," · "&amp;Visite!D182)&amp;IF(Visite!B182="","",IF(ISNUMBER(Visite!B182)," · ore "&amp;TEXT(Visite!B182,"hh:mm")," · "&amp;Visite!B182)))</f>
        <v/>
      </c>
      <c r="D479" s="0" t="str">
        <f aca="false">IF(B479="","",Visite!C182)</f>
        <v/>
      </c>
      <c r="E479" s="0" t="str">
        <f aca="false">IF(B479="","","Visita")</f>
        <v/>
      </c>
      <c r="F479" s="0" t="str">
        <f aca="false">""</f>
        <v/>
      </c>
    </row>
    <row r="480" customFormat="false" ht="15" hidden="false" customHeight="false" outlineLevel="0" collapsed="false">
      <c r="A480" s="0" t="str">
        <f aca="true">IF(B480="","",IF(B480&gt;=TODAY(),B480+ROW()/100000,""))</f>
        <v/>
      </c>
      <c r="B480" s="0" t="str">
        <f aca="false">IF(AND(Visite!A183&lt;&gt;"",Visite!E183&lt;&gt;"Completata",Visite!E183&lt;&gt;"Annullata"),Visite!A183,"")</f>
        <v/>
      </c>
      <c r="C480" s="0" t="str">
        <f aca="false">IF(B480="","","Visita"&amp;IF(Visite!D183="",""," · "&amp;Visite!D183)&amp;IF(Visite!B183="","",IF(ISNUMBER(Visite!B183)," · ore "&amp;TEXT(Visite!B183,"hh:mm")," · "&amp;Visite!B183)))</f>
        <v/>
      </c>
      <c r="D480" s="0" t="str">
        <f aca="false">IF(B480="","",Visite!C183)</f>
        <v/>
      </c>
      <c r="E480" s="0" t="str">
        <f aca="false">IF(B480="","","Visita")</f>
        <v/>
      </c>
      <c r="F480" s="0" t="str">
        <f aca="false">""</f>
        <v/>
      </c>
    </row>
    <row r="481" customFormat="false" ht="15" hidden="false" customHeight="false" outlineLevel="0" collapsed="false">
      <c r="A481" s="0" t="str">
        <f aca="true">IF(B481="","",IF(B481&gt;=TODAY(),B481+ROW()/100000,""))</f>
        <v/>
      </c>
      <c r="B481" s="0" t="str">
        <f aca="false">IF(AND(Visite!A184&lt;&gt;"",Visite!E184&lt;&gt;"Completata",Visite!E184&lt;&gt;"Annullata"),Visite!A184,"")</f>
        <v/>
      </c>
      <c r="C481" s="0" t="str">
        <f aca="false">IF(B481="","","Visita"&amp;IF(Visite!D184="",""," · "&amp;Visite!D184)&amp;IF(Visite!B184="","",IF(ISNUMBER(Visite!B184)," · ore "&amp;TEXT(Visite!B184,"hh:mm")," · "&amp;Visite!B184)))</f>
        <v/>
      </c>
      <c r="D481" s="0" t="str">
        <f aca="false">IF(B481="","",Visite!C184)</f>
        <v/>
      </c>
      <c r="E481" s="0" t="str">
        <f aca="false">IF(B481="","","Visita")</f>
        <v/>
      </c>
      <c r="F481" s="0" t="str">
        <f aca="false">""</f>
        <v/>
      </c>
    </row>
    <row r="482" customFormat="false" ht="15" hidden="false" customHeight="false" outlineLevel="0" collapsed="false">
      <c r="A482" s="0" t="str">
        <f aca="true">IF(B482="","",IF(B482&gt;=TODAY(),B482+ROW()/100000,""))</f>
        <v/>
      </c>
      <c r="B482" s="0" t="str">
        <f aca="false">IF(AND(Visite!A185&lt;&gt;"",Visite!E185&lt;&gt;"Completata",Visite!E185&lt;&gt;"Annullata"),Visite!A185,"")</f>
        <v/>
      </c>
      <c r="C482" s="0" t="str">
        <f aca="false">IF(B482="","","Visita"&amp;IF(Visite!D185="",""," · "&amp;Visite!D185)&amp;IF(Visite!B185="","",IF(ISNUMBER(Visite!B185)," · ore "&amp;TEXT(Visite!B185,"hh:mm")," · "&amp;Visite!B185)))</f>
        <v/>
      </c>
      <c r="D482" s="0" t="str">
        <f aca="false">IF(B482="","",Visite!C185)</f>
        <v/>
      </c>
      <c r="E482" s="0" t="str">
        <f aca="false">IF(B482="","","Visita")</f>
        <v/>
      </c>
      <c r="F482" s="0" t="str">
        <f aca="false">""</f>
        <v/>
      </c>
    </row>
    <row r="483" customFormat="false" ht="15" hidden="false" customHeight="false" outlineLevel="0" collapsed="false">
      <c r="A483" s="0" t="str">
        <f aca="true">IF(B483="","",IF(B483&gt;=TODAY(),B483+ROW()/100000,""))</f>
        <v/>
      </c>
      <c r="B483" s="0" t="str">
        <f aca="false">IF(AND(Visite!A186&lt;&gt;"",Visite!E186&lt;&gt;"Completata",Visite!E186&lt;&gt;"Annullata"),Visite!A186,"")</f>
        <v/>
      </c>
      <c r="C483" s="0" t="str">
        <f aca="false">IF(B483="","","Visita"&amp;IF(Visite!D186="",""," · "&amp;Visite!D186)&amp;IF(Visite!B186="","",IF(ISNUMBER(Visite!B186)," · ore "&amp;TEXT(Visite!B186,"hh:mm")," · "&amp;Visite!B186)))</f>
        <v/>
      </c>
      <c r="D483" s="0" t="str">
        <f aca="false">IF(B483="","",Visite!C186)</f>
        <v/>
      </c>
      <c r="E483" s="0" t="str">
        <f aca="false">IF(B483="","","Visita")</f>
        <v/>
      </c>
      <c r="F483" s="0" t="str">
        <f aca="false">""</f>
        <v/>
      </c>
    </row>
    <row r="484" customFormat="false" ht="15" hidden="false" customHeight="false" outlineLevel="0" collapsed="false">
      <c r="A484" s="0" t="str">
        <f aca="true">IF(B484="","",IF(B484&gt;=TODAY(),B484+ROW()/100000,""))</f>
        <v/>
      </c>
      <c r="B484" s="0" t="str">
        <f aca="false">IF(AND(Visite!A187&lt;&gt;"",Visite!E187&lt;&gt;"Completata",Visite!E187&lt;&gt;"Annullata"),Visite!A187,"")</f>
        <v/>
      </c>
      <c r="C484" s="0" t="str">
        <f aca="false">IF(B484="","","Visita"&amp;IF(Visite!D187="",""," · "&amp;Visite!D187)&amp;IF(Visite!B187="","",IF(ISNUMBER(Visite!B187)," · ore "&amp;TEXT(Visite!B187,"hh:mm")," · "&amp;Visite!B187)))</f>
        <v/>
      </c>
      <c r="D484" s="0" t="str">
        <f aca="false">IF(B484="","",Visite!C187)</f>
        <v/>
      </c>
      <c r="E484" s="0" t="str">
        <f aca="false">IF(B484="","","Visita")</f>
        <v/>
      </c>
      <c r="F484" s="0" t="str">
        <f aca="false">""</f>
        <v/>
      </c>
    </row>
    <row r="485" customFormat="false" ht="15" hidden="false" customHeight="false" outlineLevel="0" collapsed="false">
      <c r="A485" s="0" t="str">
        <f aca="true">IF(B485="","",IF(B485&gt;=TODAY(),B485+ROW()/100000,""))</f>
        <v/>
      </c>
      <c r="B485" s="0" t="str">
        <f aca="false">IF(AND(Visite!A188&lt;&gt;"",Visite!E188&lt;&gt;"Completata",Visite!E188&lt;&gt;"Annullata"),Visite!A188,"")</f>
        <v/>
      </c>
      <c r="C485" s="0" t="str">
        <f aca="false">IF(B485="","","Visita"&amp;IF(Visite!D188="",""," · "&amp;Visite!D188)&amp;IF(Visite!B188="","",IF(ISNUMBER(Visite!B188)," · ore "&amp;TEXT(Visite!B188,"hh:mm")," · "&amp;Visite!B188)))</f>
        <v/>
      </c>
      <c r="D485" s="0" t="str">
        <f aca="false">IF(B485="","",Visite!C188)</f>
        <v/>
      </c>
      <c r="E485" s="0" t="str">
        <f aca="false">IF(B485="","","Visita")</f>
        <v/>
      </c>
      <c r="F485" s="0" t="str">
        <f aca="false">""</f>
        <v/>
      </c>
    </row>
    <row r="486" customFormat="false" ht="15" hidden="false" customHeight="false" outlineLevel="0" collapsed="false">
      <c r="A486" s="0" t="str">
        <f aca="true">IF(B486="","",IF(B486&gt;=TODAY(),B486+ROW()/100000,""))</f>
        <v/>
      </c>
      <c r="B486" s="0" t="str">
        <f aca="false">IF(AND(Visite!A189&lt;&gt;"",Visite!E189&lt;&gt;"Completata",Visite!E189&lt;&gt;"Annullata"),Visite!A189,"")</f>
        <v/>
      </c>
      <c r="C486" s="0" t="str">
        <f aca="false">IF(B486="","","Visita"&amp;IF(Visite!D189="",""," · "&amp;Visite!D189)&amp;IF(Visite!B189="","",IF(ISNUMBER(Visite!B189)," · ore "&amp;TEXT(Visite!B189,"hh:mm")," · "&amp;Visite!B189)))</f>
        <v/>
      </c>
      <c r="D486" s="0" t="str">
        <f aca="false">IF(B486="","",Visite!C189)</f>
        <v/>
      </c>
      <c r="E486" s="0" t="str">
        <f aca="false">IF(B486="","","Visita")</f>
        <v/>
      </c>
      <c r="F486" s="0" t="str">
        <f aca="false">""</f>
        <v/>
      </c>
    </row>
    <row r="487" customFormat="false" ht="15" hidden="false" customHeight="false" outlineLevel="0" collapsed="false">
      <c r="A487" s="0" t="str">
        <f aca="true">IF(B487="","",IF(B487&gt;=TODAY(),B487+ROW()/100000,""))</f>
        <v/>
      </c>
      <c r="B487" s="0" t="str">
        <f aca="false">IF(AND(Visite!A190&lt;&gt;"",Visite!E190&lt;&gt;"Completata",Visite!E190&lt;&gt;"Annullata"),Visite!A190,"")</f>
        <v/>
      </c>
      <c r="C487" s="0" t="str">
        <f aca="false">IF(B487="","","Visita"&amp;IF(Visite!D190="",""," · "&amp;Visite!D190)&amp;IF(Visite!B190="","",IF(ISNUMBER(Visite!B190)," · ore "&amp;TEXT(Visite!B190,"hh:mm")," · "&amp;Visite!B190)))</f>
        <v/>
      </c>
      <c r="D487" s="0" t="str">
        <f aca="false">IF(B487="","",Visite!C190)</f>
        <v/>
      </c>
      <c r="E487" s="0" t="str">
        <f aca="false">IF(B487="","","Visita")</f>
        <v/>
      </c>
      <c r="F487" s="0" t="str">
        <f aca="false">""</f>
        <v/>
      </c>
    </row>
    <row r="488" customFormat="false" ht="15" hidden="false" customHeight="false" outlineLevel="0" collapsed="false">
      <c r="A488" s="0" t="str">
        <f aca="true">IF(B488="","",IF(B488&gt;=TODAY(),B488+ROW()/100000,""))</f>
        <v/>
      </c>
      <c r="B488" s="0" t="str">
        <f aca="false">IF(AND(Visite!A191&lt;&gt;"",Visite!E191&lt;&gt;"Completata",Visite!E191&lt;&gt;"Annullata"),Visite!A191,"")</f>
        <v/>
      </c>
      <c r="C488" s="0" t="str">
        <f aca="false">IF(B488="","","Visita"&amp;IF(Visite!D191="",""," · "&amp;Visite!D191)&amp;IF(Visite!B191="","",IF(ISNUMBER(Visite!B191)," · ore "&amp;TEXT(Visite!B191,"hh:mm")," · "&amp;Visite!B191)))</f>
        <v/>
      </c>
      <c r="D488" s="0" t="str">
        <f aca="false">IF(B488="","",Visite!C191)</f>
        <v/>
      </c>
      <c r="E488" s="0" t="str">
        <f aca="false">IF(B488="","","Visita")</f>
        <v/>
      </c>
      <c r="F488" s="0" t="str">
        <f aca="false">""</f>
        <v/>
      </c>
    </row>
    <row r="489" customFormat="false" ht="15" hidden="false" customHeight="false" outlineLevel="0" collapsed="false">
      <c r="A489" s="0" t="str">
        <f aca="true">IF(B489="","",IF(B489&gt;=TODAY(),B489+ROW()/100000,""))</f>
        <v/>
      </c>
      <c r="B489" s="0" t="str">
        <f aca="false">IF(AND(Visite!A192&lt;&gt;"",Visite!E192&lt;&gt;"Completata",Visite!E192&lt;&gt;"Annullata"),Visite!A192,"")</f>
        <v/>
      </c>
      <c r="C489" s="0" t="str">
        <f aca="false">IF(B489="","","Visita"&amp;IF(Visite!D192="",""," · "&amp;Visite!D192)&amp;IF(Visite!B192="","",IF(ISNUMBER(Visite!B192)," · ore "&amp;TEXT(Visite!B192,"hh:mm")," · "&amp;Visite!B192)))</f>
        <v/>
      </c>
      <c r="D489" s="0" t="str">
        <f aca="false">IF(B489="","",Visite!C192)</f>
        <v/>
      </c>
      <c r="E489" s="0" t="str">
        <f aca="false">IF(B489="","","Visita")</f>
        <v/>
      </c>
      <c r="F489" s="0" t="str">
        <f aca="false">""</f>
        <v/>
      </c>
    </row>
    <row r="490" customFormat="false" ht="15" hidden="false" customHeight="false" outlineLevel="0" collapsed="false">
      <c r="A490" s="0" t="str">
        <f aca="true">IF(B490="","",IF(B490&gt;=TODAY(),B490+ROW()/100000,""))</f>
        <v/>
      </c>
      <c r="B490" s="0" t="str">
        <f aca="false">IF(AND(Visite!A193&lt;&gt;"",Visite!E193&lt;&gt;"Completata",Visite!E193&lt;&gt;"Annullata"),Visite!A193,"")</f>
        <v/>
      </c>
      <c r="C490" s="0" t="str">
        <f aca="false">IF(B490="","","Visita"&amp;IF(Visite!D193="",""," · "&amp;Visite!D193)&amp;IF(Visite!B193="","",IF(ISNUMBER(Visite!B193)," · ore "&amp;TEXT(Visite!B193,"hh:mm")," · "&amp;Visite!B193)))</f>
        <v/>
      </c>
      <c r="D490" s="0" t="str">
        <f aca="false">IF(B490="","",Visite!C193)</f>
        <v/>
      </c>
      <c r="E490" s="0" t="str">
        <f aca="false">IF(B490="","","Visita")</f>
        <v/>
      </c>
      <c r="F490" s="0" t="str">
        <f aca="false">""</f>
        <v/>
      </c>
    </row>
    <row r="491" customFormat="false" ht="15" hidden="false" customHeight="false" outlineLevel="0" collapsed="false">
      <c r="A491" s="0" t="str">
        <f aca="true">IF(B491="","",IF(B491&gt;=TODAY(),B491+ROW()/100000,""))</f>
        <v/>
      </c>
      <c r="B491" s="0" t="str">
        <f aca="false">IF(AND(Visite!A194&lt;&gt;"",Visite!E194&lt;&gt;"Completata",Visite!E194&lt;&gt;"Annullata"),Visite!A194,"")</f>
        <v/>
      </c>
      <c r="C491" s="0" t="str">
        <f aca="false">IF(B491="","","Visita"&amp;IF(Visite!D194="",""," · "&amp;Visite!D194)&amp;IF(Visite!B194="","",IF(ISNUMBER(Visite!B194)," · ore "&amp;TEXT(Visite!B194,"hh:mm")," · "&amp;Visite!B194)))</f>
        <v/>
      </c>
      <c r="D491" s="0" t="str">
        <f aca="false">IF(B491="","",Visite!C194)</f>
        <v/>
      </c>
      <c r="E491" s="0" t="str">
        <f aca="false">IF(B491="","","Visita")</f>
        <v/>
      </c>
      <c r="F491" s="0" t="str">
        <f aca="false">""</f>
        <v/>
      </c>
    </row>
    <row r="492" customFormat="false" ht="15" hidden="false" customHeight="false" outlineLevel="0" collapsed="false">
      <c r="A492" s="0" t="str">
        <f aca="true">IF(B492="","",IF(B492&gt;=TODAY(),B492+ROW()/100000,""))</f>
        <v/>
      </c>
      <c r="B492" s="0" t="str">
        <f aca="false">IF(AND(Visite!A195&lt;&gt;"",Visite!E195&lt;&gt;"Completata",Visite!E195&lt;&gt;"Annullata"),Visite!A195,"")</f>
        <v/>
      </c>
      <c r="C492" s="0" t="str">
        <f aca="false">IF(B492="","","Visita"&amp;IF(Visite!D195="",""," · "&amp;Visite!D195)&amp;IF(Visite!B195="","",IF(ISNUMBER(Visite!B195)," · ore "&amp;TEXT(Visite!B195,"hh:mm")," · "&amp;Visite!B195)))</f>
        <v/>
      </c>
      <c r="D492" s="0" t="str">
        <f aca="false">IF(B492="","",Visite!C195)</f>
        <v/>
      </c>
      <c r="E492" s="0" t="str">
        <f aca="false">IF(B492="","","Visita")</f>
        <v/>
      </c>
      <c r="F492" s="0" t="str">
        <f aca="false">""</f>
        <v/>
      </c>
    </row>
    <row r="493" customFormat="false" ht="15" hidden="false" customHeight="false" outlineLevel="0" collapsed="false">
      <c r="A493" s="0" t="str">
        <f aca="true">IF(B493="","",IF(B493&gt;=TODAY(),B493+ROW()/100000,""))</f>
        <v/>
      </c>
      <c r="B493" s="0" t="str">
        <f aca="false">IF(AND(Visite!A196&lt;&gt;"",Visite!E196&lt;&gt;"Completata",Visite!E196&lt;&gt;"Annullata"),Visite!A196,"")</f>
        <v/>
      </c>
      <c r="C493" s="0" t="str">
        <f aca="false">IF(B493="","","Visita"&amp;IF(Visite!D196="",""," · "&amp;Visite!D196)&amp;IF(Visite!B196="","",IF(ISNUMBER(Visite!B196)," · ore "&amp;TEXT(Visite!B196,"hh:mm")," · "&amp;Visite!B196)))</f>
        <v/>
      </c>
      <c r="D493" s="0" t="str">
        <f aca="false">IF(B493="","",Visite!C196)</f>
        <v/>
      </c>
      <c r="E493" s="0" t="str">
        <f aca="false">IF(B493="","","Visita")</f>
        <v/>
      </c>
      <c r="F493" s="0" t="str">
        <f aca="false">""</f>
        <v/>
      </c>
    </row>
    <row r="494" customFormat="false" ht="15" hidden="false" customHeight="false" outlineLevel="0" collapsed="false">
      <c r="A494" s="0" t="str">
        <f aca="true">IF(B494="","",IF(B494&gt;=TODAY(),B494+ROW()/100000,""))</f>
        <v/>
      </c>
      <c r="B494" s="0" t="str">
        <f aca="false">IF(AND(Visite!A197&lt;&gt;"",Visite!E197&lt;&gt;"Completata",Visite!E197&lt;&gt;"Annullata"),Visite!A197,"")</f>
        <v/>
      </c>
      <c r="C494" s="0" t="str">
        <f aca="false">IF(B494="","","Visita"&amp;IF(Visite!D197="",""," · "&amp;Visite!D197)&amp;IF(Visite!B197="","",IF(ISNUMBER(Visite!B197)," · ore "&amp;TEXT(Visite!B197,"hh:mm")," · "&amp;Visite!B197)))</f>
        <v/>
      </c>
      <c r="D494" s="0" t="str">
        <f aca="false">IF(B494="","",Visite!C197)</f>
        <v/>
      </c>
      <c r="E494" s="0" t="str">
        <f aca="false">IF(B494="","","Visita")</f>
        <v/>
      </c>
      <c r="F494" s="0" t="str">
        <f aca="false">""</f>
        <v/>
      </c>
    </row>
    <row r="495" customFormat="false" ht="15" hidden="false" customHeight="false" outlineLevel="0" collapsed="false">
      <c r="A495" s="0" t="str">
        <f aca="true">IF(B495="","",IF(B495&gt;=TODAY(),B495+ROW()/100000,""))</f>
        <v/>
      </c>
      <c r="B495" s="0" t="str">
        <f aca="false">IF(AND(Visite!A198&lt;&gt;"",Visite!E198&lt;&gt;"Completata",Visite!E198&lt;&gt;"Annullata"),Visite!A198,"")</f>
        <v/>
      </c>
      <c r="C495" s="0" t="str">
        <f aca="false">IF(B495="","","Visita"&amp;IF(Visite!D198="",""," · "&amp;Visite!D198)&amp;IF(Visite!B198="","",IF(ISNUMBER(Visite!B198)," · ore "&amp;TEXT(Visite!B198,"hh:mm")," · "&amp;Visite!B198)))</f>
        <v/>
      </c>
      <c r="D495" s="0" t="str">
        <f aca="false">IF(B495="","",Visite!C198)</f>
        <v/>
      </c>
      <c r="E495" s="0" t="str">
        <f aca="false">IF(B495="","","Visita")</f>
        <v/>
      </c>
      <c r="F495" s="0" t="str">
        <f aca="false">""</f>
        <v/>
      </c>
    </row>
    <row r="496" customFormat="false" ht="15" hidden="false" customHeight="false" outlineLevel="0" collapsed="false">
      <c r="A496" s="0" t="str">
        <f aca="true">IF(B496="","",IF(B496&gt;=TODAY(),B496+ROW()/100000,""))</f>
        <v/>
      </c>
      <c r="B496" s="0" t="str">
        <f aca="false">IF(AND(Visite!A199&lt;&gt;"",Visite!E199&lt;&gt;"Completata",Visite!E199&lt;&gt;"Annullata"),Visite!A199,"")</f>
        <v/>
      </c>
      <c r="C496" s="0" t="str">
        <f aca="false">IF(B496="","","Visita"&amp;IF(Visite!D199="",""," · "&amp;Visite!D199)&amp;IF(Visite!B199="","",IF(ISNUMBER(Visite!B199)," · ore "&amp;TEXT(Visite!B199,"hh:mm")," · "&amp;Visite!B199)))</f>
        <v/>
      </c>
      <c r="D496" s="0" t="str">
        <f aca="false">IF(B496="","",Visite!C199)</f>
        <v/>
      </c>
      <c r="E496" s="0" t="str">
        <f aca="false">IF(B496="","","Visita")</f>
        <v/>
      </c>
      <c r="F496" s="0" t="str">
        <f aca="false">""</f>
        <v/>
      </c>
    </row>
    <row r="497" customFormat="false" ht="15" hidden="false" customHeight="false" outlineLevel="0" collapsed="false">
      <c r="A497" s="0" t="str">
        <f aca="true">IF(B497="","",IF(B497&gt;=TODAY(),B497+ROW()/100000,""))</f>
        <v/>
      </c>
      <c r="B497" s="0" t="str">
        <f aca="false">IF(AND(Visite!A200&lt;&gt;"",Visite!E200&lt;&gt;"Completata",Visite!E200&lt;&gt;"Annullata"),Visite!A200,"")</f>
        <v/>
      </c>
      <c r="C497" s="0" t="str">
        <f aca="false">IF(B497="","","Visita"&amp;IF(Visite!D200="",""," · "&amp;Visite!D200)&amp;IF(Visite!B200="","",IF(ISNUMBER(Visite!B200)," · ore "&amp;TEXT(Visite!B200,"hh:mm")," · "&amp;Visite!B200)))</f>
        <v/>
      </c>
      <c r="D497" s="0" t="str">
        <f aca="false">IF(B497="","",Visite!C200)</f>
        <v/>
      </c>
      <c r="E497" s="0" t="str">
        <f aca="false">IF(B497="","","Visita")</f>
        <v/>
      </c>
      <c r="F497" s="0" t="str">
        <f aca="false">""</f>
        <v/>
      </c>
    </row>
    <row r="498" customFormat="false" ht="15" hidden="false" customHeight="false" outlineLevel="0" collapsed="false">
      <c r="A498" s="0" t="str">
        <f aca="true">IF(B498="","",IF(B498&gt;=TODAY(),B498+ROW()/100000,""))</f>
        <v/>
      </c>
      <c r="B498" s="0" t="str">
        <f aca="false">IF(AND(Visite!A201&lt;&gt;"",Visite!E201&lt;&gt;"Completata",Visite!E201&lt;&gt;"Annullata"),Visite!A201,"")</f>
        <v/>
      </c>
      <c r="C498" s="0" t="str">
        <f aca="false">IF(B498="","","Visita"&amp;IF(Visite!D201="",""," · "&amp;Visite!D201)&amp;IF(Visite!B201="","",IF(ISNUMBER(Visite!B201)," · ore "&amp;TEXT(Visite!B201,"hh:mm")," · "&amp;Visite!B201)))</f>
        <v/>
      </c>
      <c r="D498" s="0" t="str">
        <f aca="false">IF(B498="","",Visite!C201)</f>
        <v/>
      </c>
      <c r="E498" s="0" t="str">
        <f aca="false">IF(B498="","","Visita")</f>
        <v/>
      </c>
      <c r="F498" s="0" t="str">
        <f aca="false">""</f>
        <v/>
      </c>
    </row>
    <row r="499" customFormat="false" ht="15" hidden="false" customHeight="false" outlineLevel="0" collapsed="false">
      <c r="A499" s="0" t="str">
        <f aca="true">IF(B499="","",IF(B499&gt;=TODAY(),B499+ROW()/100000,""))</f>
        <v/>
      </c>
      <c r="B499" s="0" t="str">
        <f aca="false">IF(AND(Visite!A202&lt;&gt;"",Visite!E202&lt;&gt;"Completata",Visite!E202&lt;&gt;"Annullata"),Visite!A202,"")</f>
        <v/>
      </c>
      <c r="C499" s="0" t="str">
        <f aca="false">IF(B499="","","Visita"&amp;IF(Visite!D202="",""," · "&amp;Visite!D202)&amp;IF(Visite!B202="","",IF(ISNUMBER(Visite!B202)," · ore "&amp;TEXT(Visite!B202,"hh:mm")," · "&amp;Visite!B202)))</f>
        <v/>
      </c>
      <c r="D499" s="0" t="str">
        <f aca="false">IF(B499="","",Visite!C202)</f>
        <v/>
      </c>
      <c r="E499" s="0" t="str">
        <f aca="false">IF(B499="","","Visita")</f>
        <v/>
      </c>
      <c r="F499" s="0" t="str">
        <f aca="false">""</f>
        <v/>
      </c>
    </row>
    <row r="500" customFormat="false" ht="15" hidden="false" customHeight="false" outlineLevel="0" collapsed="false">
      <c r="A500" s="0" t="str">
        <f aca="true">IF(B500="","",IF(B500&gt;=TODAY(),B500+ROW()/100000,""))</f>
        <v/>
      </c>
      <c r="B500" s="0" t="str">
        <f aca="false">IF(AND(Visite!A203&lt;&gt;"",Visite!E203&lt;&gt;"Completata",Visite!E203&lt;&gt;"Annullata"),Visite!A203,"")</f>
        <v/>
      </c>
      <c r="C500" s="0" t="str">
        <f aca="false">IF(B500="","","Visita"&amp;IF(Visite!D203="",""," · "&amp;Visite!D203)&amp;IF(Visite!B203="","",IF(ISNUMBER(Visite!B203)," · ore "&amp;TEXT(Visite!B203,"hh:mm")," · "&amp;Visite!B203)))</f>
        <v/>
      </c>
      <c r="D500" s="0" t="str">
        <f aca="false">IF(B500="","",Visite!C203)</f>
        <v/>
      </c>
      <c r="E500" s="0" t="str">
        <f aca="false">IF(B500="","","Visita")</f>
        <v/>
      </c>
      <c r="F500" s="0" t="str">
        <f aca="false">""</f>
        <v/>
      </c>
    </row>
    <row r="501" customFormat="false" ht="15" hidden="false" customHeight="false" outlineLevel="0" collapsed="false">
      <c r="A501" s="0" t="str">
        <f aca="true">IF(B501="","",IF(B501&gt;=TODAY(),B501+ROW()/100000,""))</f>
        <v/>
      </c>
      <c r="B501" s="0" t="str">
        <f aca="false">IF(AND(Visite!A204&lt;&gt;"",Visite!E204&lt;&gt;"Completata",Visite!E204&lt;&gt;"Annullata"),Visite!A204,"")</f>
        <v/>
      </c>
      <c r="C501" s="0" t="str">
        <f aca="false">IF(B501="","","Visita"&amp;IF(Visite!D204="",""," · "&amp;Visite!D204)&amp;IF(Visite!B204="","",IF(ISNUMBER(Visite!B204)," · ore "&amp;TEXT(Visite!B204,"hh:mm")," · "&amp;Visite!B204)))</f>
        <v/>
      </c>
      <c r="D501" s="0" t="str">
        <f aca="false">IF(B501="","",Visite!C204)</f>
        <v/>
      </c>
      <c r="E501" s="0" t="str">
        <f aca="false">IF(B501="","","Visita")</f>
        <v/>
      </c>
      <c r="F501" s="0" t="str">
        <f aca="false">""</f>
        <v/>
      </c>
    </row>
    <row r="502" customFormat="false" ht="15" hidden="false" customHeight="false" outlineLevel="0" collapsed="false">
      <c r="A502" s="0" t="str">
        <f aca="true">IF(B502="","",IF(B502&gt;=TODAY(),B502+ROW()/100000,""))</f>
        <v/>
      </c>
      <c r="B502" s="0" t="str">
        <f aca="false">IF(AND(Visite!A205&lt;&gt;"",Visite!E205&lt;&gt;"Completata",Visite!E205&lt;&gt;"Annullata"),Visite!A205,"")</f>
        <v/>
      </c>
      <c r="C502" s="0" t="str">
        <f aca="false">IF(B502="","","Visita"&amp;IF(Visite!D205="",""," · "&amp;Visite!D205)&amp;IF(Visite!B205="","",IF(ISNUMBER(Visite!B205)," · ore "&amp;TEXT(Visite!B205,"hh:mm")," · "&amp;Visite!B205)))</f>
        <v/>
      </c>
      <c r="D502" s="0" t="str">
        <f aca="false">IF(B502="","",Visite!C205)</f>
        <v/>
      </c>
      <c r="E502" s="0" t="str">
        <f aca="false">IF(B502="","","Visita")</f>
        <v/>
      </c>
      <c r="F502" s="0" t="str">
        <f aca="false">""</f>
        <v/>
      </c>
    </row>
    <row r="503" customFormat="false" ht="15" hidden="false" customHeight="false" outlineLevel="0" collapsed="false">
      <c r="A503" s="0" t="str">
        <f aca="true">IF(B503="","",IF(B503&gt;=TODAY(),B503+ROW()/100000,""))</f>
        <v/>
      </c>
      <c r="B503" s="0" t="str">
        <f aca="false">IF(AND(Visite!A206&lt;&gt;"",Visite!E206&lt;&gt;"Completata",Visite!E206&lt;&gt;"Annullata"),Visite!A206,"")</f>
        <v/>
      </c>
      <c r="C503" s="0" t="str">
        <f aca="false">IF(B503="","","Visita"&amp;IF(Visite!D206="",""," · "&amp;Visite!D206)&amp;IF(Visite!B206="","",IF(ISNUMBER(Visite!B206)," · ore "&amp;TEXT(Visite!B206,"hh:mm")," · "&amp;Visite!B206)))</f>
        <v/>
      </c>
      <c r="D503" s="0" t="str">
        <f aca="false">IF(B503="","",Visite!C206)</f>
        <v/>
      </c>
      <c r="E503" s="0" t="str">
        <f aca="false">IF(B503="","","Visita")</f>
        <v/>
      </c>
      <c r="F503" s="0" t="str">
        <f aca="false">""</f>
        <v/>
      </c>
    </row>
    <row r="504" customFormat="false" ht="15" hidden="false" customHeight="false" outlineLevel="0" collapsed="false">
      <c r="A504" s="0" t="str">
        <f aca="true">IF(B504="","",IF(B504&gt;=TODAY(),B504+ROW()/100000,""))</f>
        <v/>
      </c>
      <c r="B504" s="0" t="str">
        <f aca="false">IF(AND(Visite!A207&lt;&gt;"",Visite!E207&lt;&gt;"Completata",Visite!E207&lt;&gt;"Annullata"),Visite!A207,"")</f>
        <v/>
      </c>
      <c r="C504" s="0" t="str">
        <f aca="false">IF(B504="","","Visita"&amp;IF(Visite!D207="",""," · "&amp;Visite!D207)&amp;IF(Visite!B207="","",IF(ISNUMBER(Visite!B207)," · ore "&amp;TEXT(Visite!B207,"hh:mm")," · "&amp;Visite!B207)))</f>
        <v/>
      </c>
      <c r="D504" s="0" t="str">
        <f aca="false">IF(B504="","",Visite!C207)</f>
        <v/>
      </c>
      <c r="E504" s="0" t="str">
        <f aca="false">IF(B504="","","Visita")</f>
        <v/>
      </c>
      <c r="F504" s="0" t="str">
        <f aca="false">""</f>
        <v/>
      </c>
    </row>
    <row r="505" customFormat="false" ht="15" hidden="false" customHeight="false" outlineLevel="0" collapsed="false">
      <c r="A505" s="0" t="str">
        <f aca="true">IF(B505="","",IF(B505&gt;=TODAY(),B505+ROW()/100000,""))</f>
        <v/>
      </c>
      <c r="B505" s="0" t="str">
        <f aca="false">IF(AND(Visite!A208&lt;&gt;"",Visite!E208&lt;&gt;"Completata",Visite!E208&lt;&gt;"Annullata"),Visite!A208,"")</f>
        <v/>
      </c>
      <c r="C505" s="0" t="str">
        <f aca="false">IF(B505="","","Visita"&amp;IF(Visite!D208="",""," · "&amp;Visite!D208)&amp;IF(Visite!B208="","",IF(ISNUMBER(Visite!B208)," · ore "&amp;TEXT(Visite!B208,"hh:mm")," · "&amp;Visite!B208)))</f>
        <v/>
      </c>
      <c r="D505" s="0" t="str">
        <f aca="false">IF(B505="","",Visite!C208)</f>
        <v/>
      </c>
      <c r="E505" s="0" t="str">
        <f aca="false">IF(B505="","","Visita")</f>
        <v/>
      </c>
      <c r="F505" s="0" t="str">
        <f aca="false">""</f>
        <v/>
      </c>
    </row>
    <row r="506" customFormat="false" ht="15" hidden="false" customHeight="false" outlineLevel="0" collapsed="false">
      <c r="A506" s="0" t="str">
        <f aca="true">IF(B506="","",IF(B506&gt;=TODAY(),B506+ROW()/100000,""))</f>
        <v/>
      </c>
      <c r="B506" s="0" t="str">
        <f aca="false">IF(AND(Visite!A209&lt;&gt;"",Visite!E209&lt;&gt;"Completata",Visite!E209&lt;&gt;"Annullata"),Visite!A209,"")</f>
        <v/>
      </c>
      <c r="C506" s="0" t="str">
        <f aca="false">IF(B506="","","Visita"&amp;IF(Visite!D209="",""," · "&amp;Visite!D209)&amp;IF(Visite!B209="","",IF(ISNUMBER(Visite!B209)," · ore "&amp;TEXT(Visite!B209,"hh:mm")," · "&amp;Visite!B209)))</f>
        <v/>
      </c>
      <c r="D506" s="0" t="str">
        <f aca="false">IF(B506="","",Visite!C209)</f>
        <v/>
      </c>
      <c r="E506" s="0" t="str">
        <f aca="false">IF(B506="","","Visita")</f>
        <v/>
      </c>
      <c r="F506" s="0" t="str">
        <f aca="false">""</f>
        <v/>
      </c>
    </row>
    <row r="507" customFormat="false" ht="15" hidden="false" customHeight="false" outlineLevel="0" collapsed="false">
      <c r="A507" s="0" t="str">
        <f aca="true">IF(B507="","",IF(B507&gt;=TODAY(),B507+ROW()/100000,""))</f>
        <v/>
      </c>
      <c r="B507" s="0" t="str">
        <f aca="false">IF(AND(Visite!A210&lt;&gt;"",Visite!E210&lt;&gt;"Completata",Visite!E210&lt;&gt;"Annullata"),Visite!A210,"")</f>
        <v/>
      </c>
      <c r="C507" s="0" t="str">
        <f aca="false">IF(B507="","","Visita"&amp;IF(Visite!D210="",""," · "&amp;Visite!D210)&amp;IF(Visite!B210="","",IF(ISNUMBER(Visite!B210)," · ore "&amp;TEXT(Visite!B210,"hh:mm")," · "&amp;Visite!B210)))</f>
        <v/>
      </c>
      <c r="D507" s="0" t="str">
        <f aca="false">IF(B507="","",Visite!C210)</f>
        <v/>
      </c>
      <c r="E507" s="0" t="str">
        <f aca="false">IF(B507="","","Visita")</f>
        <v/>
      </c>
      <c r="F507" s="0" t="str">
        <f aca="false">""</f>
        <v/>
      </c>
    </row>
    <row r="508" customFormat="false" ht="15" hidden="false" customHeight="false" outlineLevel="0" collapsed="false">
      <c r="A508" s="0" t="str">
        <f aca="true">IF(B508="","",IF(B508&gt;=TODAY(),B508+ROW()/100000,""))</f>
        <v/>
      </c>
      <c r="B508" s="0" t="str">
        <f aca="false">IF(AND(Visite!A211&lt;&gt;"",Visite!E211&lt;&gt;"Completata",Visite!E211&lt;&gt;"Annullata"),Visite!A211,"")</f>
        <v/>
      </c>
      <c r="C508" s="0" t="str">
        <f aca="false">IF(B508="","","Visita"&amp;IF(Visite!D211="",""," · "&amp;Visite!D211)&amp;IF(Visite!B211="","",IF(ISNUMBER(Visite!B211)," · ore "&amp;TEXT(Visite!B211,"hh:mm")," · "&amp;Visite!B211)))</f>
        <v/>
      </c>
      <c r="D508" s="0" t="str">
        <f aca="false">IF(B508="","",Visite!C211)</f>
        <v/>
      </c>
      <c r="E508" s="0" t="str">
        <f aca="false">IF(B508="","","Visita")</f>
        <v/>
      </c>
      <c r="F508" s="0" t="str">
        <f aca="false">""</f>
        <v/>
      </c>
    </row>
    <row r="509" customFormat="false" ht="15" hidden="false" customHeight="false" outlineLevel="0" collapsed="false">
      <c r="A509" s="0" t="str">
        <f aca="true">IF(B509="","",IF(B509&gt;=TODAY(),B509+ROW()/100000,""))</f>
        <v/>
      </c>
      <c r="B509" s="0" t="str">
        <f aca="false">IF(AND(Visite!A212&lt;&gt;"",Visite!E212&lt;&gt;"Completata",Visite!E212&lt;&gt;"Annullata"),Visite!A212,"")</f>
        <v/>
      </c>
      <c r="C509" s="0" t="str">
        <f aca="false">IF(B509="","","Visita"&amp;IF(Visite!D212="",""," · "&amp;Visite!D212)&amp;IF(Visite!B212="","",IF(ISNUMBER(Visite!B212)," · ore "&amp;TEXT(Visite!B212,"hh:mm")," · "&amp;Visite!B212)))</f>
        <v/>
      </c>
      <c r="D509" s="0" t="str">
        <f aca="false">IF(B509="","",Visite!C212)</f>
        <v/>
      </c>
      <c r="E509" s="0" t="str">
        <f aca="false">IF(B509="","","Visita")</f>
        <v/>
      </c>
      <c r="F509" s="0" t="str">
        <f aca="false">""</f>
        <v/>
      </c>
    </row>
    <row r="510" customFormat="false" ht="15" hidden="false" customHeight="false" outlineLevel="0" collapsed="false">
      <c r="A510" s="0" t="str">
        <f aca="true">IF(B510="","",IF(B510&gt;=TODAY(),B510+ROW()/100000,""))</f>
        <v/>
      </c>
      <c r="B510" s="0" t="str">
        <f aca="false">IF(AND(Visite!A213&lt;&gt;"",Visite!E213&lt;&gt;"Completata",Visite!E213&lt;&gt;"Annullata"),Visite!A213,"")</f>
        <v/>
      </c>
      <c r="C510" s="0" t="str">
        <f aca="false">IF(B510="","","Visita"&amp;IF(Visite!D213="",""," · "&amp;Visite!D213)&amp;IF(Visite!B213="","",IF(ISNUMBER(Visite!B213)," · ore "&amp;TEXT(Visite!B213,"hh:mm")," · "&amp;Visite!B213)))</f>
        <v/>
      </c>
      <c r="D510" s="0" t="str">
        <f aca="false">IF(B510="","",Visite!C213)</f>
        <v/>
      </c>
      <c r="E510" s="0" t="str">
        <f aca="false">IF(B510="","","Visita")</f>
        <v/>
      </c>
      <c r="F510" s="0" t="str">
        <f aca="false">""</f>
        <v/>
      </c>
    </row>
    <row r="511" customFormat="false" ht="15" hidden="false" customHeight="false" outlineLevel="0" collapsed="false">
      <c r="A511" s="0" t="str">
        <f aca="true">IF(B511="","",IF(B511&gt;=TODAY(),B511+ROW()/100000,""))</f>
        <v/>
      </c>
      <c r="B511" s="0" t="str">
        <f aca="false">IF(AND(Visite!A214&lt;&gt;"",Visite!E214&lt;&gt;"Completata",Visite!E214&lt;&gt;"Annullata"),Visite!A214,"")</f>
        <v/>
      </c>
      <c r="C511" s="0" t="str">
        <f aca="false">IF(B511="","","Visita"&amp;IF(Visite!D214="",""," · "&amp;Visite!D214)&amp;IF(Visite!B214="","",IF(ISNUMBER(Visite!B214)," · ore "&amp;TEXT(Visite!B214,"hh:mm")," · "&amp;Visite!B214)))</f>
        <v/>
      </c>
      <c r="D511" s="0" t="str">
        <f aca="false">IF(B511="","",Visite!C214)</f>
        <v/>
      </c>
      <c r="E511" s="0" t="str">
        <f aca="false">IF(B511="","","Visita")</f>
        <v/>
      </c>
      <c r="F511" s="0" t="str">
        <f aca="false">""</f>
        <v/>
      </c>
    </row>
    <row r="512" customFormat="false" ht="15" hidden="false" customHeight="false" outlineLevel="0" collapsed="false">
      <c r="A512" s="0" t="str">
        <f aca="true">IF(B512="","",IF(B512&gt;=TODAY(),B512+ROW()/100000,""))</f>
        <v/>
      </c>
      <c r="B512" s="0" t="str">
        <f aca="false">IF(AND(Visite!A215&lt;&gt;"",Visite!E215&lt;&gt;"Completata",Visite!E215&lt;&gt;"Annullata"),Visite!A215,"")</f>
        <v/>
      </c>
      <c r="C512" s="0" t="str">
        <f aca="false">IF(B512="","","Visita"&amp;IF(Visite!D215="",""," · "&amp;Visite!D215)&amp;IF(Visite!B215="","",IF(ISNUMBER(Visite!B215)," · ore "&amp;TEXT(Visite!B215,"hh:mm")," · "&amp;Visite!B215)))</f>
        <v/>
      </c>
      <c r="D512" s="0" t="str">
        <f aca="false">IF(B512="","",Visite!C215)</f>
        <v/>
      </c>
      <c r="E512" s="0" t="str">
        <f aca="false">IF(B512="","","Visita")</f>
        <v/>
      </c>
      <c r="F512" s="0" t="str">
        <f aca="false">""</f>
        <v/>
      </c>
    </row>
    <row r="513" customFormat="false" ht="15" hidden="false" customHeight="false" outlineLevel="0" collapsed="false">
      <c r="A513" s="0" t="str">
        <f aca="true">IF(B513="","",IF(B513&gt;=TODAY(),B513+ROW()/100000,""))</f>
        <v/>
      </c>
      <c r="B513" s="0" t="str">
        <f aca="false">IF(AND(Visite!A216&lt;&gt;"",Visite!E216&lt;&gt;"Completata",Visite!E216&lt;&gt;"Annullata"),Visite!A216,"")</f>
        <v/>
      </c>
      <c r="C513" s="0" t="str">
        <f aca="false">IF(B513="","","Visita"&amp;IF(Visite!D216="",""," · "&amp;Visite!D216)&amp;IF(Visite!B216="","",IF(ISNUMBER(Visite!B216)," · ore "&amp;TEXT(Visite!B216,"hh:mm")," · "&amp;Visite!B216)))</f>
        <v/>
      </c>
      <c r="D513" s="0" t="str">
        <f aca="false">IF(B513="","",Visite!C216)</f>
        <v/>
      </c>
      <c r="E513" s="0" t="str">
        <f aca="false">IF(B513="","","Visita")</f>
        <v/>
      </c>
      <c r="F513" s="0" t="str">
        <f aca="false">""</f>
        <v/>
      </c>
    </row>
    <row r="514" customFormat="false" ht="15" hidden="false" customHeight="false" outlineLevel="0" collapsed="false">
      <c r="A514" s="0" t="str">
        <f aca="true">IF(B514="","",IF(B514&gt;=TODAY(),B514+ROW()/100000,""))</f>
        <v/>
      </c>
      <c r="B514" s="0" t="str">
        <f aca="false">IF(AND(Visite!A217&lt;&gt;"",Visite!E217&lt;&gt;"Completata",Visite!E217&lt;&gt;"Annullata"),Visite!A217,"")</f>
        <v/>
      </c>
      <c r="C514" s="0" t="str">
        <f aca="false">IF(B514="","","Visita"&amp;IF(Visite!D217="",""," · "&amp;Visite!D217)&amp;IF(Visite!B217="","",IF(ISNUMBER(Visite!B217)," · ore "&amp;TEXT(Visite!B217,"hh:mm")," · "&amp;Visite!B217)))</f>
        <v/>
      </c>
      <c r="D514" s="0" t="str">
        <f aca="false">IF(B514="","",Visite!C217)</f>
        <v/>
      </c>
      <c r="E514" s="0" t="str">
        <f aca="false">IF(B514="","","Visita")</f>
        <v/>
      </c>
      <c r="F514" s="0" t="str">
        <f aca="false">""</f>
        <v/>
      </c>
    </row>
    <row r="515" customFormat="false" ht="15" hidden="false" customHeight="false" outlineLevel="0" collapsed="false">
      <c r="A515" s="0" t="str">
        <f aca="true">IF(B515="","",IF(B515&gt;=TODAY(),B515+ROW()/100000,""))</f>
        <v/>
      </c>
      <c r="B515" s="0" t="str">
        <f aca="false">IF(AND(Visite!A218&lt;&gt;"",Visite!E218&lt;&gt;"Completata",Visite!E218&lt;&gt;"Annullata"),Visite!A218,"")</f>
        <v/>
      </c>
      <c r="C515" s="0" t="str">
        <f aca="false">IF(B515="","","Visita"&amp;IF(Visite!D218="",""," · "&amp;Visite!D218)&amp;IF(Visite!B218="","",IF(ISNUMBER(Visite!B218)," · ore "&amp;TEXT(Visite!B218,"hh:mm")," · "&amp;Visite!B218)))</f>
        <v/>
      </c>
      <c r="D515" s="0" t="str">
        <f aca="false">IF(B515="","",Visite!C218)</f>
        <v/>
      </c>
      <c r="E515" s="0" t="str">
        <f aca="false">IF(B515="","","Visita")</f>
        <v/>
      </c>
      <c r="F515" s="0" t="str">
        <f aca="false">""</f>
        <v/>
      </c>
    </row>
    <row r="516" customFormat="false" ht="15" hidden="false" customHeight="false" outlineLevel="0" collapsed="false">
      <c r="A516" s="0" t="str">
        <f aca="true">IF(B516="","",IF(B516&gt;=TODAY(),B516+ROW()/100000,""))</f>
        <v/>
      </c>
      <c r="B516" s="0" t="str">
        <f aca="false">IF(AND(Visite!A219&lt;&gt;"",Visite!E219&lt;&gt;"Completata",Visite!E219&lt;&gt;"Annullata"),Visite!A219,"")</f>
        <v/>
      </c>
      <c r="C516" s="0" t="str">
        <f aca="false">IF(B516="","","Visita"&amp;IF(Visite!D219="",""," · "&amp;Visite!D219)&amp;IF(Visite!B219="","",IF(ISNUMBER(Visite!B219)," · ore "&amp;TEXT(Visite!B219,"hh:mm")," · "&amp;Visite!B219)))</f>
        <v/>
      </c>
      <c r="D516" s="0" t="str">
        <f aca="false">IF(B516="","",Visite!C219)</f>
        <v/>
      </c>
      <c r="E516" s="0" t="str">
        <f aca="false">IF(B516="","","Visita")</f>
        <v/>
      </c>
      <c r="F516" s="0" t="str">
        <f aca="false">""</f>
        <v/>
      </c>
    </row>
    <row r="517" customFormat="false" ht="15" hidden="false" customHeight="false" outlineLevel="0" collapsed="false">
      <c r="A517" s="0" t="str">
        <f aca="true">IF(B517="","",IF(B517&gt;=TODAY(),B517+ROW()/100000,""))</f>
        <v/>
      </c>
      <c r="B517" s="0" t="str">
        <f aca="false">IF(AND(Visite!A220&lt;&gt;"",Visite!E220&lt;&gt;"Completata",Visite!E220&lt;&gt;"Annullata"),Visite!A220,"")</f>
        <v/>
      </c>
      <c r="C517" s="0" t="str">
        <f aca="false">IF(B517="","","Visita"&amp;IF(Visite!D220="",""," · "&amp;Visite!D220)&amp;IF(Visite!B220="","",IF(ISNUMBER(Visite!B220)," · ore "&amp;TEXT(Visite!B220,"hh:mm")," · "&amp;Visite!B220)))</f>
        <v/>
      </c>
      <c r="D517" s="0" t="str">
        <f aca="false">IF(B517="","",Visite!C220)</f>
        <v/>
      </c>
      <c r="E517" s="0" t="str">
        <f aca="false">IF(B517="","","Visita")</f>
        <v/>
      </c>
      <c r="F517" s="0" t="str">
        <f aca="false">""</f>
        <v/>
      </c>
    </row>
    <row r="518" customFormat="false" ht="15" hidden="false" customHeight="false" outlineLevel="0" collapsed="false">
      <c r="A518" s="0" t="str">
        <f aca="true">IF(B518="","",IF(B518&gt;=TODAY(),B518+ROW()/100000,""))</f>
        <v/>
      </c>
      <c r="B518" s="0" t="str">
        <f aca="false">IF(AND(Visite!A221&lt;&gt;"",Visite!E221&lt;&gt;"Completata",Visite!E221&lt;&gt;"Annullata"),Visite!A221,"")</f>
        <v/>
      </c>
      <c r="C518" s="0" t="str">
        <f aca="false">IF(B518="","","Visita"&amp;IF(Visite!D221="",""," · "&amp;Visite!D221)&amp;IF(Visite!B221="","",IF(ISNUMBER(Visite!B221)," · ore "&amp;TEXT(Visite!B221,"hh:mm")," · "&amp;Visite!B221)))</f>
        <v/>
      </c>
      <c r="D518" s="0" t="str">
        <f aca="false">IF(B518="","",Visite!C221)</f>
        <v/>
      </c>
      <c r="E518" s="0" t="str">
        <f aca="false">IF(B518="","","Visita")</f>
        <v/>
      </c>
      <c r="F518" s="0" t="str">
        <f aca="false">""</f>
        <v/>
      </c>
    </row>
    <row r="519" customFormat="false" ht="15" hidden="false" customHeight="false" outlineLevel="0" collapsed="false">
      <c r="A519" s="0" t="str">
        <f aca="true">IF(B519="","",IF(B519&gt;=TODAY(),B519+ROW()/100000,""))</f>
        <v/>
      </c>
      <c r="B519" s="0" t="str">
        <f aca="false">IF(AND(Visite!A222&lt;&gt;"",Visite!E222&lt;&gt;"Completata",Visite!E222&lt;&gt;"Annullata"),Visite!A222,"")</f>
        <v/>
      </c>
      <c r="C519" s="0" t="str">
        <f aca="false">IF(B519="","","Visita"&amp;IF(Visite!D222="",""," · "&amp;Visite!D222)&amp;IF(Visite!B222="","",IF(ISNUMBER(Visite!B222)," · ore "&amp;TEXT(Visite!B222,"hh:mm")," · "&amp;Visite!B222)))</f>
        <v/>
      </c>
      <c r="D519" s="0" t="str">
        <f aca="false">IF(B519="","",Visite!C222)</f>
        <v/>
      </c>
      <c r="E519" s="0" t="str">
        <f aca="false">IF(B519="","","Visita")</f>
        <v/>
      </c>
      <c r="F519" s="0" t="str">
        <f aca="false">""</f>
        <v/>
      </c>
    </row>
    <row r="520" customFormat="false" ht="15" hidden="false" customHeight="false" outlineLevel="0" collapsed="false">
      <c r="A520" s="0" t="str">
        <f aca="true">IF(B520="","",IF(B520&gt;=TODAY(),B520+ROW()/100000,""))</f>
        <v/>
      </c>
      <c r="B520" s="0" t="str">
        <f aca="false">IF(AND(Visite!A223&lt;&gt;"",Visite!E223&lt;&gt;"Completata",Visite!E223&lt;&gt;"Annullata"),Visite!A223,"")</f>
        <v/>
      </c>
      <c r="C520" s="0" t="str">
        <f aca="false">IF(B520="","","Visita"&amp;IF(Visite!D223="",""," · "&amp;Visite!D223)&amp;IF(Visite!B223="","",IF(ISNUMBER(Visite!B223)," · ore "&amp;TEXT(Visite!B223,"hh:mm")," · "&amp;Visite!B223)))</f>
        <v/>
      </c>
      <c r="D520" s="0" t="str">
        <f aca="false">IF(B520="","",Visite!C223)</f>
        <v/>
      </c>
      <c r="E520" s="0" t="str">
        <f aca="false">IF(B520="","","Visita")</f>
        <v/>
      </c>
      <c r="F520" s="0" t="str">
        <f aca="false">""</f>
        <v/>
      </c>
    </row>
    <row r="521" customFormat="false" ht="15" hidden="false" customHeight="false" outlineLevel="0" collapsed="false">
      <c r="A521" s="0" t="str">
        <f aca="true">IF(B521="","",IF(B521&gt;=TODAY(),B521+ROW()/100000,""))</f>
        <v/>
      </c>
      <c r="B521" s="0" t="str">
        <f aca="false">IF(AND(Visite!A224&lt;&gt;"",Visite!E224&lt;&gt;"Completata",Visite!E224&lt;&gt;"Annullata"),Visite!A224,"")</f>
        <v/>
      </c>
      <c r="C521" s="0" t="str">
        <f aca="false">IF(B521="","","Visita"&amp;IF(Visite!D224="",""," · "&amp;Visite!D224)&amp;IF(Visite!B224="","",IF(ISNUMBER(Visite!B224)," · ore "&amp;TEXT(Visite!B224,"hh:mm")," · "&amp;Visite!B224)))</f>
        <v/>
      </c>
      <c r="D521" s="0" t="str">
        <f aca="false">IF(B521="","",Visite!C224)</f>
        <v/>
      </c>
      <c r="E521" s="0" t="str">
        <f aca="false">IF(B521="","","Visita")</f>
        <v/>
      </c>
      <c r="F521" s="0" t="str">
        <f aca="false">""</f>
        <v/>
      </c>
    </row>
    <row r="522" customFormat="false" ht="15" hidden="false" customHeight="false" outlineLevel="0" collapsed="false">
      <c r="A522" s="0" t="str">
        <f aca="true">IF(B522="","",IF(B522&gt;=TODAY(),B522+ROW()/100000,""))</f>
        <v/>
      </c>
      <c r="B522" s="0" t="str">
        <f aca="false">IF(AND(Visite!A225&lt;&gt;"",Visite!E225&lt;&gt;"Completata",Visite!E225&lt;&gt;"Annullata"),Visite!A225,"")</f>
        <v/>
      </c>
      <c r="C522" s="0" t="str">
        <f aca="false">IF(B522="","","Visita"&amp;IF(Visite!D225="",""," · "&amp;Visite!D225)&amp;IF(Visite!B225="","",IF(ISNUMBER(Visite!B225)," · ore "&amp;TEXT(Visite!B225,"hh:mm")," · "&amp;Visite!B225)))</f>
        <v/>
      </c>
      <c r="D522" s="0" t="str">
        <f aca="false">IF(B522="","",Visite!C225)</f>
        <v/>
      </c>
      <c r="E522" s="0" t="str">
        <f aca="false">IF(B522="","","Visita")</f>
        <v/>
      </c>
      <c r="F522" s="0" t="str">
        <f aca="false">""</f>
        <v/>
      </c>
    </row>
    <row r="523" customFormat="false" ht="15" hidden="false" customHeight="false" outlineLevel="0" collapsed="false">
      <c r="A523" s="0" t="str">
        <f aca="true">IF(B523="","",IF(B523&gt;=TODAY(),B523+ROW()/100000,""))</f>
        <v/>
      </c>
      <c r="B523" s="0" t="str">
        <f aca="false">IF(AND(Visite!A226&lt;&gt;"",Visite!E226&lt;&gt;"Completata",Visite!E226&lt;&gt;"Annullata"),Visite!A226,"")</f>
        <v/>
      </c>
      <c r="C523" s="0" t="str">
        <f aca="false">IF(B523="","","Visita"&amp;IF(Visite!D226="",""," · "&amp;Visite!D226)&amp;IF(Visite!B226="","",IF(ISNUMBER(Visite!B226)," · ore "&amp;TEXT(Visite!B226,"hh:mm")," · "&amp;Visite!B226)))</f>
        <v/>
      </c>
      <c r="D523" s="0" t="str">
        <f aca="false">IF(B523="","",Visite!C226)</f>
        <v/>
      </c>
      <c r="E523" s="0" t="str">
        <f aca="false">IF(B523="","","Visita")</f>
        <v/>
      </c>
      <c r="F523" s="0" t="str">
        <f aca="false">""</f>
        <v/>
      </c>
    </row>
    <row r="524" customFormat="false" ht="15" hidden="false" customHeight="false" outlineLevel="0" collapsed="false">
      <c r="A524" s="0" t="str">
        <f aca="true">IF(B524="","",IF(B524&gt;=TODAY(),B524+ROW()/100000,""))</f>
        <v/>
      </c>
      <c r="B524" s="0" t="str">
        <f aca="false">IF(AND(Visite!A227&lt;&gt;"",Visite!E227&lt;&gt;"Completata",Visite!E227&lt;&gt;"Annullata"),Visite!A227,"")</f>
        <v/>
      </c>
      <c r="C524" s="0" t="str">
        <f aca="false">IF(B524="","","Visita"&amp;IF(Visite!D227="",""," · "&amp;Visite!D227)&amp;IF(Visite!B227="","",IF(ISNUMBER(Visite!B227)," · ore "&amp;TEXT(Visite!B227,"hh:mm")," · "&amp;Visite!B227)))</f>
        <v/>
      </c>
      <c r="D524" s="0" t="str">
        <f aca="false">IF(B524="","",Visite!C227)</f>
        <v/>
      </c>
      <c r="E524" s="0" t="str">
        <f aca="false">IF(B524="","","Visita")</f>
        <v/>
      </c>
      <c r="F524" s="0" t="str">
        <f aca="false">""</f>
        <v/>
      </c>
    </row>
    <row r="525" customFormat="false" ht="15" hidden="false" customHeight="false" outlineLevel="0" collapsed="false">
      <c r="A525" s="0" t="str">
        <f aca="true">IF(B525="","",IF(B525&gt;=TODAY(),B525+ROW()/100000,""))</f>
        <v/>
      </c>
      <c r="B525" s="0" t="str">
        <f aca="false">IF(AND(Visite!A228&lt;&gt;"",Visite!E228&lt;&gt;"Completata",Visite!E228&lt;&gt;"Annullata"),Visite!A228,"")</f>
        <v/>
      </c>
      <c r="C525" s="0" t="str">
        <f aca="false">IF(B525="","","Visita"&amp;IF(Visite!D228="",""," · "&amp;Visite!D228)&amp;IF(Visite!B228="","",IF(ISNUMBER(Visite!B228)," · ore "&amp;TEXT(Visite!B228,"hh:mm")," · "&amp;Visite!B228)))</f>
        <v/>
      </c>
      <c r="D525" s="0" t="str">
        <f aca="false">IF(B525="","",Visite!C228)</f>
        <v/>
      </c>
      <c r="E525" s="0" t="str">
        <f aca="false">IF(B525="","","Visita")</f>
        <v/>
      </c>
      <c r="F525" s="0" t="str">
        <f aca="false">""</f>
        <v/>
      </c>
    </row>
    <row r="526" customFormat="false" ht="15" hidden="false" customHeight="false" outlineLevel="0" collapsed="false">
      <c r="A526" s="0" t="str">
        <f aca="true">IF(B526="","",IF(B526&gt;=TODAY(),B526+ROW()/100000,""))</f>
        <v/>
      </c>
      <c r="B526" s="0" t="str">
        <f aca="false">IF(AND(Visite!A229&lt;&gt;"",Visite!E229&lt;&gt;"Completata",Visite!E229&lt;&gt;"Annullata"),Visite!A229,"")</f>
        <v/>
      </c>
      <c r="C526" s="0" t="str">
        <f aca="false">IF(B526="","","Visita"&amp;IF(Visite!D229="",""," · "&amp;Visite!D229)&amp;IF(Visite!B229="","",IF(ISNUMBER(Visite!B229)," · ore "&amp;TEXT(Visite!B229,"hh:mm")," · "&amp;Visite!B229)))</f>
        <v/>
      </c>
      <c r="D526" s="0" t="str">
        <f aca="false">IF(B526="","",Visite!C229)</f>
        <v/>
      </c>
      <c r="E526" s="0" t="str">
        <f aca="false">IF(B526="","","Visita")</f>
        <v/>
      </c>
      <c r="F526" s="0" t="str">
        <f aca="false">""</f>
        <v/>
      </c>
    </row>
    <row r="527" customFormat="false" ht="15" hidden="false" customHeight="false" outlineLevel="0" collapsed="false">
      <c r="A527" s="0" t="str">
        <f aca="true">IF(B527="","",IF(B527&gt;=TODAY(),B527+ROW()/100000,""))</f>
        <v/>
      </c>
      <c r="B527" s="0" t="str">
        <f aca="false">IF(AND(Visite!A230&lt;&gt;"",Visite!E230&lt;&gt;"Completata",Visite!E230&lt;&gt;"Annullata"),Visite!A230,"")</f>
        <v/>
      </c>
      <c r="C527" s="0" t="str">
        <f aca="false">IF(B527="","","Visita"&amp;IF(Visite!D230="",""," · "&amp;Visite!D230)&amp;IF(Visite!B230="","",IF(ISNUMBER(Visite!B230)," · ore "&amp;TEXT(Visite!B230,"hh:mm")," · "&amp;Visite!B230)))</f>
        <v/>
      </c>
      <c r="D527" s="0" t="str">
        <f aca="false">IF(B527="","",Visite!C230)</f>
        <v/>
      </c>
      <c r="E527" s="0" t="str">
        <f aca="false">IF(B527="","","Visita")</f>
        <v/>
      </c>
      <c r="F527" s="0" t="str">
        <f aca="false">""</f>
        <v/>
      </c>
    </row>
    <row r="528" customFormat="false" ht="15" hidden="false" customHeight="false" outlineLevel="0" collapsed="false">
      <c r="A528" s="0" t="str">
        <f aca="true">IF(B528="","",IF(B528&gt;=TODAY(),B528+ROW()/100000,""))</f>
        <v/>
      </c>
      <c r="B528" s="0" t="str">
        <f aca="false">IF(AND(Visite!A231&lt;&gt;"",Visite!E231&lt;&gt;"Completata",Visite!E231&lt;&gt;"Annullata"),Visite!A231,"")</f>
        <v/>
      </c>
      <c r="C528" s="0" t="str">
        <f aca="false">IF(B528="","","Visita"&amp;IF(Visite!D231="",""," · "&amp;Visite!D231)&amp;IF(Visite!B231="","",IF(ISNUMBER(Visite!B231)," · ore "&amp;TEXT(Visite!B231,"hh:mm")," · "&amp;Visite!B231)))</f>
        <v/>
      </c>
      <c r="D528" s="0" t="str">
        <f aca="false">IF(B528="","",Visite!C231)</f>
        <v/>
      </c>
      <c r="E528" s="0" t="str">
        <f aca="false">IF(B528="","","Visita")</f>
        <v/>
      </c>
      <c r="F528" s="0" t="str">
        <f aca="false">""</f>
        <v/>
      </c>
    </row>
    <row r="529" customFormat="false" ht="15" hidden="false" customHeight="false" outlineLevel="0" collapsed="false">
      <c r="A529" s="0" t="str">
        <f aca="true">IF(B529="","",IF(B529&gt;=TODAY(),B529+ROW()/100000,""))</f>
        <v/>
      </c>
      <c r="B529" s="0" t="str">
        <f aca="false">IF(AND(Visite!A232&lt;&gt;"",Visite!E232&lt;&gt;"Completata",Visite!E232&lt;&gt;"Annullata"),Visite!A232,"")</f>
        <v/>
      </c>
      <c r="C529" s="0" t="str">
        <f aca="false">IF(B529="","","Visita"&amp;IF(Visite!D232="",""," · "&amp;Visite!D232)&amp;IF(Visite!B232="","",IF(ISNUMBER(Visite!B232)," · ore "&amp;TEXT(Visite!B232,"hh:mm")," · "&amp;Visite!B232)))</f>
        <v/>
      </c>
      <c r="D529" s="0" t="str">
        <f aca="false">IF(B529="","",Visite!C232)</f>
        <v/>
      </c>
      <c r="E529" s="0" t="str">
        <f aca="false">IF(B529="","","Visita")</f>
        <v/>
      </c>
      <c r="F529" s="0" t="str">
        <f aca="false">""</f>
        <v/>
      </c>
    </row>
    <row r="530" customFormat="false" ht="15" hidden="false" customHeight="false" outlineLevel="0" collapsed="false">
      <c r="A530" s="0" t="str">
        <f aca="true">IF(B530="","",IF(B530&gt;=TODAY(),B530+ROW()/100000,""))</f>
        <v/>
      </c>
      <c r="B530" s="0" t="str">
        <f aca="false">IF(AND(Visite!A233&lt;&gt;"",Visite!E233&lt;&gt;"Completata",Visite!E233&lt;&gt;"Annullata"),Visite!A233,"")</f>
        <v/>
      </c>
      <c r="C530" s="0" t="str">
        <f aca="false">IF(B530="","","Visita"&amp;IF(Visite!D233="",""," · "&amp;Visite!D233)&amp;IF(Visite!B233="","",IF(ISNUMBER(Visite!B233)," · ore "&amp;TEXT(Visite!B233,"hh:mm")," · "&amp;Visite!B233)))</f>
        <v/>
      </c>
      <c r="D530" s="0" t="str">
        <f aca="false">IF(B530="","",Visite!C233)</f>
        <v/>
      </c>
      <c r="E530" s="0" t="str">
        <f aca="false">IF(B530="","","Visita")</f>
        <v/>
      </c>
      <c r="F530" s="0" t="str">
        <f aca="false">""</f>
        <v/>
      </c>
    </row>
    <row r="531" customFormat="false" ht="15" hidden="false" customHeight="false" outlineLevel="0" collapsed="false">
      <c r="A531" s="0" t="str">
        <f aca="true">IF(B531="","",IF(B531&gt;=TODAY(),B531+ROW()/100000,""))</f>
        <v/>
      </c>
      <c r="B531" s="0" t="str">
        <f aca="false">IF(AND(Visite!A234&lt;&gt;"",Visite!E234&lt;&gt;"Completata",Visite!E234&lt;&gt;"Annullata"),Visite!A234,"")</f>
        <v/>
      </c>
      <c r="C531" s="0" t="str">
        <f aca="false">IF(B531="","","Visita"&amp;IF(Visite!D234="",""," · "&amp;Visite!D234)&amp;IF(Visite!B234="","",IF(ISNUMBER(Visite!B234)," · ore "&amp;TEXT(Visite!B234,"hh:mm")," · "&amp;Visite!B234)))</f>
        <v/>
      </c>
      <c r="D531" s="0" t="str">
        <f aca="false">IF(B531="","",Visite!C234)</f>
        <v/>
      </c>
      <c r="E531" s="0" t="str">
        <f aca="false">IF(B531="","","Visita")</f>
        <v/>
      </c>
      <c r="F531" s="0" t="str">
        <f aca="false">""</f>
        <v/>
      </c>
    </row>
    <row r="532" customFormat="false" ht="15" hidden="false" customHeight="false" outlineLevel="0" collapsed="false">
      <c r="A532" s="0" t="str">
        <f aca="true">IF(B532="","",IF(B532&gt;=TODAY(),B532+ROW()/100000,""))</f>
        <v/>
      </c>
      <c r="B532" s="0" t="str">
        <f aca="false">IF(AND(Visite!A235&lt;&gt;"",Visite!E235&lt;&gt;"Completata",Visite!E235&lt;&gt;"Annullata"),Visite!A235,"")</f>
        <v/>
      </c>
      <c r="C532" s="0" t="str">
        <f aca="false">IF(B532="","","Visita"&amp;IF(Visite!D235="",""," · "&amp;Visite!D235)&amp;IF(Visite!B235="","",IF(ISNUMBER(Visite!B235)," · ore "&amp;TEXT(Visite!B235,"hh:mm")," · "&amp;Visite!B235)))</f>
        <v/>
      </c>
      <c r="D532" s="0" t="str">
        <f aca="false">IF(B532="","",Visite!C235)</f>
        <v/>
      </c>
      <c r="E532" s="0" t="str">
        <f aca="false">IF(B532="","","Visita")</f>
        <v/>
      </c>
      <c r="F532" s="0" t="str">
        <f aca="false">""</f>
        <v/>
      </c>
    </row>
    <row r="533" customFormat="false" ht="15" hidden="false" customHeight="false" outlineLevel="0" collapsed="false">
      <c r="A533" s="0" t="str">
        <f aca="true">IF(B533="","",IF(B533&gt;=TODAY(),B533+ROW()/100000,""))</f>
        <v/>
      </c>
      <c r="B533" s="0" t="str">
        <f aca="false">IF(AND(Visite!A236&lt;&gt;"",Visite!E236&lt;&gt;"Completata",Visite!E236&lt;&gt;"Annullata"),Visite!A236,"")</f>
        <v/>
      </c>
      <c r="C533" s="0" t="str">
        <f aca="false">IF(B533="","","Visita"&amp;IF(Visite!D236="",""," · "&amp;Visite!D236)&amp;IF(Visite!B236="","",IF(ISNUMBER(Visite!B236)," · ore "&amp;TEXT(Visite!B236,"hh:mm")," · "&amp;Visite!B236)))</f>
        <v/>
      </c>
      <c r="D533" s="0" t="str">
        <f aca="false">IF(B533="","",Visite!C236)</f>
        <v/>
      </c>
      <c r="E533" s="0" t="str">
        <f aca="false">IF(B533="","","Visita")</f>
        <v/>
      </c>
      <c r="F533" s="0" t="str">
        <f aca="false">""</f>
        <v/>
      </c>
    </row>
    <row r="534" customFormat="false" ht="15" hidden="false" customHeight="false" outlineLevel="0" collapsed="false">
      <c r="A534" s="0" t="str">
        <f aca="true">IF(B534="","",IF(B534&gt;=TODAY(),B534+ROW()/100000,""))</f>
        <v/>
      </c>
      <c r="B534" s="0" t="str">
        <f aca="false">IF(AND(Visite!A237&lt;&gt;"",Visite!E237&lt;&gt;"Completata",Visite!E237&lt;&gt;"Annullata"),Visite!A237,"")</f>
        <v/>
      </c>
      <c r="C534" s="0" t="str">
        <f aca="false">IF(B534="","","Visita"&amp;IF(Visite!D237="",""," · "&amp;Visite!D237)&amp;IF(Visite!B237="","",IF(ISNUMBER(Visite!B237)," · ore "&amp;TEXT(Visite!B237,"hh:mm")," · "&amp;Visite!B237)))</f>
        <v/>
      </c>
      <c r="D534" s="0" t="str">
        <f aca="false">IF(B534="","",Visite!C237)</f>
        <v/>
      </c>
      <c r="E534" s="0" t="str">
        <f aca="false">IF(B534="","","Visita")</f>
        <v/>
      </c>
      <c r="F534" s="0" t="str">
        <f aca="false">""</f>
        <v/>
      </c>
    </row>
    <row r="535" customFormat="false" ht="15" hidden="false" customHeight="false" outlineLevel="0" collapsed="false">
      <c r="A535" s="0" t="str">
        <f aca="true">IF(B535="","",IF(B535&gt;=TODAY(),B535+ROW()/100000,""))</f>
        <v/>
      </c>
      <c r="B535" s="0" t="str">
        <f aca="false">IF(AND(Visite!A238&lt;&gt;"",Visite!E238&lt;&gt;"Completata",Visite!E238&lt;&gt;"Annullata"),Visite!A238,"")</f>
        <v/>
      </c>
      <c r="C535" s="0" t="str">
        <f aca="false">IF(B535="","","Visita"&amp;IF(Visite!D238="",""," · "&amp;Visite!D238)&amp;IF(Visite!B238="","",IF(ISNUMBER(Visite!B238)," · ore "&amp;TEXT(Visite!B238,"hh:mm")," · "&amp;Visite!B238)))</f>
        <v/>
      </c>
      <c r="D535" s="0" t="str">
        <f aca="false">IF(B535="","",Visite!C238)</f>
        <v/>
      </c>
      <c r="E535" s="0" t="str">
        <f aca="false">IF(B535="","","Visita")</f>
        <v/>
      </c>
      <c r="F535" s="0" t="str">
        <f aca="false">""</f>
        <v/>
      </c>
    </row>
    <row r="536" customFormat="false" ht="15" hidden="false" customHeight="false" outlineLevel="0" collapsed="false">
      <c r="A536" s="0" t="str">
        <f aca="true">IF(B536="","",IF(B536&gt;=TODAY(),B536+ROW()/100000,""))</f>
        <v/>
      </c>
      <c r="B536" s="0" t="str">
        <f aca="false">IF(AND(Visite!A239&lt;&gt;"",Visite!E239&lt;&gt;"Completata",Visite!E239&lt;&gt;"Annullata"),Visite!A239,"")</f>
        <v/>
      </c>
      <c r="C536" s="0" t="str">
        <f aca="false">IF(B536="","","Visita"&amp;IF(Visite!D239="",""," · "&amp;Visite!D239)&amp;IF(Visite!B239="","",IF(ISNUMBER(Visite!B239)," · ore "&amp;TEXT(Visite!B239,"hh:mm")," · "&amp;Visite!B239)))</f>
        <v/>
      </c>
      <c r="D536" s="0" t="str">
        <f aca="false">IF(B536="","",Visite!C239)</f>
        <v/>
      </c>
      <c r="E536" s="0" t="str">
        <f aca="false">IF(B536="","","Visita")</f>
        <v/>
      </c>
      <c r="F536" s="0" t="str">
        <f aca="false">""</f>
        <v/>
      </c>
    </row>
    <row r="537" customFormat="false" ht="15" hidden="false" customHeight="false" outlineLevel="0" collapsed="false">
      <c r="A537" s="0" t="str">
        <f aca="true">IF(B537="","",IF(B537&gt;=TODAY(),B537+ROW()/100000,""))</f>
        <v/>
      </c>
      <c r="B537" s="0" t="str">
        <f aca="false">IF(AND(Visite!A240&lt;&gt;"",Visite!E240&lt;&gt;"Completata",Visite!E240&lt;&gt;"Annullata"),Visite!A240,"")</f>
        <v/>
      </c>
      <c r="C537" s="0" t="str">
        <f aca="false">IF(B537="","","Visita"&amp;IF(Visite!D240="",""," · "&amp;Visite!D240)&amp;IF(Visite!B240="","",IF(ISNUMBER(Visite!B240)," · ore "&amp;TEXT(Visite!B240,"hh:mm")," · "&amp;Visite!B240)))</f>
        <v/>
      </c>
      <c r="D537" s="0" t="str">
        <f aca="false">IF(B537="","",Visite!C240)</f>
        <v/>
      </c>
      <c r="E537" s="0" t="str">
        <f aca="false">IF(B537="","","Visita")</f>
        <v/>
      </c>
      <c r="F537" s="0" t="str">
        <f aca="false">""</f>
        <v/>
      </c>
    </row>
    <row r="538" customFormat="false" ht="15" hidden="false" customHeight="false" outlineLevel="0" collapsed="false">
      <c r="A538" s="0" t="str">
        <f aca="true">IF(B538="","",IF(B538&gt;=TODAY(),B538+ROW()/100000,""))</f>
        <v/>
      </c>
      <c r="B538" s="0" t="str">
        <f aca="false">IF(AND(Visite!A241&lt;&gt;"",Visite!E241&lt;&gt;"Completata",Visite!E241&lt;&gt;"Annullata"),Visite!A241,"")</f>
        <v/>
      </c>
      <c r="C538" s="0" t="str">
        <f aca="false">IF(B538="","","Visita"&amp;IF(Visite!D241="",""," · "&amp;Visite!D241)&amp;IF(Visite!B241="","",IF(ISNUMBER(Visite!B241)," · ore "&amp;TEXT(Visite!B241,"hh:mm")," · "&amp;Visite!B241)))</f>
        <v/>
      </c>
      <c r="D538" s="0" t="str">
        <f aca="false">IF(B538="","",Visite!C241)</f>
        <v/>
      </c>
      <c r="E538" s="0" t="str">
        <f aca="false">IF(B538="","","Visita")</f>
        <v/>
      </c>
      <c r="F538" s="0" t="str">
        <f aca="false">""</f>
        <v/>
      </c>
    </row>
    <row r="539" customFormat="false" ht="15" hidden="false" customHeight="false" outlineLevel="0" collapsed="false">
      <c r="A539" s="0" t="str">
        <f aca="true">IF(B539="","",IF(B539&gt;=TODAY(),B539+ROW()/100000,""))</f>
        <v/>
      </c>
      <c r="B539" s="0" t="str">
        <f aca="false">IF(AND(Visite!A242&lt;&gt;"",Visite!E242&lt;&gt;"Completata",Visite!E242&lt;&gt;"Annullata"),Visite!A242,"")</f>
        <v/>
      </c>
      <c r="C539" s="0" t="str">
        <f aca="false">IF(B539="","","Visita"&amp;IF(Visite!D242="",""," · "&amp;Visite!D242)&amp;IF(Visite!B242="","",IF(ISNUMBER(Visite!B242)," · ore "&amp;TEXT(Visite!B242,"hh:mm")," · "&amp;Visite!B242)))</f>
        <v/>
      </c>
      <c r="D539" s="0" t="str">
        <f aca="false">IF(B539="","",Visite!C242)</f>
        <v/>
      </c>
      <c r="E539" s="0" t="str">
        <f aca="false">IF(B539="","","Visita")</f>
        <v/>
      </c>
      <c r="F539" s="0" t="str">
        <f aca="false">""</f>
        <v/>
      </c>
    </row>
    <row r="540" customFormat="false" ht="15" hidden="false" customHeight="false" outlineLevel="0" collapsed="false">
      <c r="A540" s="0" t="str">
        <f aca="true">IF(B540="","",IF(B540&gt;=TODAY(),B540+ROW()/100000,""))</f>
        <v/>
      </c>
      <c r="B540" s="0" t="str">
        <f aca="false">IF(AND(Visite!A243&lt;&gt;"",Visite!E243&lt;&gt;"Completata",Visite!E243&lt;&gt;"Annullata"),Visite!A243,"")</f>
        <v/>
      </c>
      <c r="C540" s="0" t="str">
        <f aca="false">IF(B540="","","Visita"&amp;IF(Visite!D243="",""," · "&amp;Visite!D243)&amp;IF(Visite!B243="","",IF(ISNUMBER(Visite!B243)," · ore "&amp;TEXT(Visite!B243,"hh:mm")," · "&amp;Visite!B243)))</f>
        <v/>
      </c>
      <c r="D540" s="0" t="str">
        <f aca="false">IF(B540="","",Visite!C243)</f>
        <v/>
      </c>
      <c r="E540" s="0" t="str">
        <f aca="false">IF(B540="","","Visita")</f>
        <v/>
      </c>
      <c r="F540" s="0" t="str">
        <f aca="false">""</f>
        <v/>
      </c>
    </row>
    <row r="541" customFormat="false" ht="15" hidden="false" customHeight="false" outlineLevel="0" collapsed="false">
      <c r="A541" s="0" t="str">
        <f aca="true">IF(B541="","",IF(B541&gt;=TODAY(),B541+ROW()/100000,""))</f>
        <v/>
      </c>
      <c r="B541" s="0" t="str">
        <f aca="false">IF(AND(Visite!A244&lt;&gt;"",Visite!E244&lt;&gt;"Completata",Visite!E244&lt;&gt;"Annullata"),Visite!A244,"")</f>
        <v/>
      </c>
      <c r="C541" s="0" t="str">
        <f aca="false">IF(B541="","","Visita"&amp;IF(Visite!D244="",""," · "&amp;Visite!D244)&amp;IF(Visite!B244="","",IF(ISNUMBER(Visite!B244)," · ore "&amp;TEXT(Visite!B244,"hh:mm")," · "&amp;Visite!B244)))</f>
        <v/>
      </c>
      <c r="D541" s="0" t="str">
        <f aca="false">IF(B541="","",Visite!C244)</f>
        <v/>
      </c>
      <c r="E541" s="0" t="str">
        <f aca="false">IF(B541="","","Visita")</f>
        <v/>
      </c>
      <c r="F541" s="0" t="str">
        <f aca="false">""</f>
        <v/>
      </c>
    </row>
    <row r="542" customFormat="false" ht="15" hidden="false" customHeight="false" outlineLevel="0" collapsed="false">
      <c r="A542" s="0" t="str">
        <f aca="true">IF(B542="","",IF(B542&gt;=TODAY(),B542+ROW()/100000,""))</f>
        <v/>
      </c>
      <c r="B542" s="0" t="str">
        <f aca="false">IF(AND(Visite!A245&lt;&gt;"",Visite!E245&lt;&gt;"Completata",Visite!E245&lt;&gt;"Annullata"),Visite!A245,"")</f>
        <v/>
      </c>
      <c r="C542" s="0" t="str">
        <f aca="false">IF(B542="","","Visita"&amp;IF(Visite!D245="",""," · "&amp;Visite!D245)&amp;IF(Visite!B245="","",IF(ISNUMBER(Visite!B245)," · ore "&amp;TEXT(Visite!B245,"hh:mm")," · "&amp;Visite!B245)))</f>
        <v/>
      </c>
      <c r="D542" s="0" t="str">
        <f aca="false">IF(B542="","",Visite!C245)</f>
        <v/>
      </c>
      <c r="E542" s="0" t="str">
        <f aca="false">IF(B542="","","Visita")</f>
        <v/>
      </c>
      <c r="F542" s="0" t="str">
        <f aca="false">""</f>
        <v/>
      </c>
    </row>
    <row r="543" customFormat="false" ht="15" hidden="false" customHeight="false" outlineLevel="0" collapsed="false">
      <c r="A543" s="0" t="str">
        <f aca="true">IF(B543="","",IF(B543&gt;=TODAY(),B543+ROW()/100000,""))</f>
        <v/>
      </c>
      <c r="B543" s="0" t="str">
        <f aca="false">IF(AND(Visite!A246&lt;&gt;"",Visite!E246&lt;&gt;"Completata",Visite!E246&lt;&gt;"Annullata"),Visite!A246,"")</f>
        <v/>
      </c>
      <c r="C543" s="0" t="str">
        <f aca="false">IF(B543="","","Visita"&amp;IF(Visite!D246="",""," · "&amp;Visite!D246)&amp;IF(Visite!B246="","",IF(ISNUMBER(Visite!B246)," · ore "&amp;TEXT(Visite!B246,"hh:mm")," · "&amp;Visite!B246)))</f>
        <v/>
      </c>
      <c r="D543" s="0" t="str">
        <f aca="false">IF(B543="","",Visite!C246)</f>
        <v/>
      </c>
      <c r="E543" s="0" t="str">
        <f aca="false">IF(B543="","","Visita")</f>
        <v/>
      </c>
      <c r="F543" s="0" t="str">
        <f aca="false">""</f>
        <v/>
      </c>
    </row>
    <row r="544" customFormat="false" ht="15" hidden="false" customHeight="false" outlineLevel="0" collapsed="false">
      <c r="A544" s="0" t="str">
        <f aca="true">IF(B544="","",IF(B544&gt;=TODAY(),B544+ROW()/100000,""))</f>
        <v/>
      </c>
      <c r="B544" s="0" t="str">
        <f aca="false">IF(AND(Visite!A247&lt;&gt;"",Visite!E247&lt;&gt;"Completata",Visite!E247&lt;&gt;"Annullata"),Visite!A247,"")</f>
        <v/>
      </c>
      <c r="C544" s="0" t="str">
        <f aca="false">IF(B544="","","Visita"&amp;IF(Visite!D247="",""," · "&amp;Visite!D247)&amp;IF(Visite!B247="","",IF(ISNUMBER(Visite!B247)," · ore "&amp;TEXT(Visite!B247,"hh:mm")," · "&amp;Visite!B247)))</f>
        <v/>
      </c>
      <c r="D544" s="0" t="str">
        <f aca="false">IF(B544="","",Visite!C247)</f>
        <v/>
      </c>
      <c r="E544" s="0" t="str">
        <f aca="false">IF(B544="","","Visita")</f>
        <v/>
      </c>
      <c r="F544" s="0" t="str">
        <f aca="false">""</f>
        <v/>
      </c>
    </row>
    <row r="545" customFormat="false" ht="15" hidden="false" customHeight="false" outlineLevel="0" collapsed="false">
      <c r="A545" s="0" t="str">
        <f aca="true">IF(B545="","",IF(B545&gt;=TODAY(),B545+ROW()/100000,""))</f>
        <v/>
      </c>
      <c r="B545" s="0" t="str">
        <f aca="false">IF(AND(Visite!A248&lt;&gt;"",Visite!E248&lt;&gt;"Completata",Visite!E248&lt;&gt;"Annullata"),Visite!A248,"")</f>
        <v/>
      </c>
      <c r="C545" s="0" t="str">
        <f aca="false">IF(B545="","","Visita"&amp;IF(Visite!D248="",""," · "&amp;Visite!D248)&amp;IF(Visite!B248="","",IF(ISNUMBER(Visite!B248)," · ore "&amp;TEXT(Visite!B248,"hh:mm")," · "&amp;Visite!B248)))</f>
        <v/>
      </c>
      <c r="D545" s="0" t="str">
        <f aca="false">IF(B545="","",Visite!C248)</f>
        <v/>
      </c>
      <c r="E545" s="0" t="str">
        <f aca="false">IF(B545="","","Visita")</f>
        <v/>
      </c>
      <c r="F545" s="0" t="str">
        <f aca="false">""</f>
        <v/>
      </c>
    </row>
    <row r="546" customFormat="false" ht="15" hidden="false" customHeight="false" outlineLevel="0" collapsed="false">
      <c r="A546" s="0" t="str">
        <f aca="true">IF(B546="","",IF(B546&gt;=TODAY(),B546+ROW()/100000,""))</f>
        <v/>
      </c>
      <c r="B546" s="0" t="str">
        <f aca="false">IF(AND(Visite!A249&lt;&gt;"",Visite!E249&lt;&gt;"Completata",Visite!E249&lt;&gt;"Annullata"),Visite!A249,"")</f>
        <v/>
      </c>
      <c r="C546" s="0" t="str">
        <f aca="false">IF(B546="","","Visita"&amp;IF(Visite!D249="",""," · "&amp;Visite!D249)&amp;IF(Visite!B249="","",IF(ISNUMBER(Visite!B249)," · ore "&amp;TEXT(Visite!B249,"hh:mm")," · "&amp;Visite!B249)))</f>
        <v/>
      </c>
      <c r="D546" s="0" t="str">
        <f aca="false">IF(B546="","",Visite!C249)</f>
        <v/>
      </c>
      <c r="E546" s="0" t="str">
        <f aca="false">IF(B546="","","Visita")</f>
        <v/>
      </c>
      <c r="F546" s="0" t="str">
        <f aca="false">""</f>
        <v/>
      </c>
    </row>
    <row r="547" customFormat="false" ht="15" hidden="false" customHeight="false" outlineLevel="0" collapsed="false">
      <c r="A547" s="0" t="str">
        <f aca="true">IF(B547="","",IF(B547&gt;=TODAY(),B547+ROW()/100000,""))</f>
        <v/>
      </c>
      <c r="B547" s="0" t="str">
        <f aca="false">IF(AND(Visite!A250&lt;&gt;"",Visite!E250&lt;&gt;"Completata",Visite!E250&lt;&gt;"Annullata"),Visite!A250,"")</f>
        <v/>
      </c>
      <c r="C547" s="0" t="str">
        <f aca="false">IF(B547="","","Visita"&amp;IF(Visite!D250="",""," · "&amp;Visite!D250)&amp;IF(Visite!B250="","",IF(ISNUMBER(Visite!B250)," · ore "&amp;TEXT(Visite!B250,"hh:mm")," · "&amp;Visite!B250)))</f>
        <v/>
      </c>
      <c r="D547" s="0" t="str">
        <f aca="false">IF(B547="","",Visite!C250)</f>
        <v/>
      </c>
      <c r="E547" s="0" t="str">
        <f aca="false">IF(B547="","","Visita")</f>
        <v/>
      </c>
      <c r="F547" s="0" t="str">
        <f aca="false">""</f>
        <v/>
      </c>
    </row>
    <row r="548" customFormat="false" ht="15" hidden="false" customHeight="false" outlineLevel="0" collapsed="false">
      <c r="A548" s="0" t="str">
        <f aca="true">IF(B548="","",IF(B548&gt;=TODAY(),B548+ROW()/100000,""))</f>
        <v/>
      </c>
      <c r="B548" s="0" t="str">
        <f aca="false">IF(AND(Visite!A251&lt;&gt;"",Visite!E251&lt;&gt;"Completata",Visite!E251&lt;&gt;"Annullata"),Visite!A251,"")</f>
        <v/>
      </c>
      <c r="C548" s="0" t="str">
        <f aca="false">IF(B548="","","Visita"&amp;IF(Visite!D251="",""," · "&amp;Visite!D251)&amp;IF(Visite!B251="","",IF(ISNUMBER(Visite!B251)," · ore "&amp;TEXT(Visite!B251,"hh:mm")," · "&amp;Visite!B251)))</f>
        <v/>
      </c>
      <c r="D548" s="0" t="str">
        <f aca="false">IF(B548="","",Visite!C251)</f>
        <v/>
      </c>
      <c r="E548" s="0" t="str">
        <f aca="false">IF(B548="","","Visita")</f>
        <v/>
      </c>
      <c r="F548" s="0" t="str">
        <f aca="false">""</f>
        <v/>
      </c>
    </row>
    <row r="549" customFormat="false" ht="15" hidden="false" customHeight="false" outlineLevel="0" collapsed="false">
      <c r="A549" s="0" t="str">
        <f aca="true">IF(B549="","",IF(B549&gt;=TODAY(),B549+ROW()/100000,""))</f>
        <v/>
      </c>
      <c r="B549" s="0" t="str">
        <f aca="false">IF(AND(Visite!A252&lt;&gt;"",Visite!E252&lt;&gt;"Completata",Visite!E252&lt;&gt;"Annullata"),Visite!A252,"")</f>
        <v/>
      </c>
      <c r="C549" s="0" t="str">
        <f aca="false">IF(B549="","","Visita"&amp;IF(Visite!D252="",""," · "&amp;Visite!D252)&amp;IF(Visite!B252="","",IF(ISNUMBER(Visite!B252)," · ore "&amp;TEXT(Visite!B252,"hh:mm")," · "&amp;Visite!B252)))</f>
        <v/>
      </c>
      <c r="D549" s="0" t="str">
        <f aca="false">IF(B549="","",Visite!C252)</f>
        <v/>
      </c>
      <c r="E549" s="0" t="str">
        <f aca="false">IF(B549="","","Visita")</f>
        <v/>
      </c>
      <c r="F549" s="0" t="str">
        <f aca="false">""</f>
        <v/>
      </c>
    </row>
    <row r="550" customFormat="false" ht="15" hidden="false" customHeight="false" outlineLevel="0" collapsed="false">
      <c r="A550" s="0" t="str">
        <f aca="true">IF(B550="","",IF(B550&gt;=TODAY(),B550+ROW()/100000,""))</f>
        <v/>
      </c>
      <c r="B550" s="0" t="str">
        <f aca="false">IF(AND(Visite!A253&lt;&gt;"",Visite!E253&lt;&gt;"Completata",Visite!E253&lt;&gt;"Annullata"),Visite!A253,"")</f>
        <v/>
      </c>
      <c r="C550" s="0" t="str">
        <f aca="false">IF(B550="","","Visita"&amp;IF(Visite!D253="",""," · "&amp;Visite!D253)&amp;IF(Visite!B253="","",IF(ISNUMBER(Visite!B253)," · ore "&amp;TEXT(Visite!B253,"hh:mm")," · "&amp;Visite!B253)))</f>
        <v/>
      </c>
      <c r="D550" s="0" t="str">
        <f aca="false">IF(B550="","",Visite!C253)</f>
        <v/>
      </c>
      <c r="E550" s="0" t="str">
        <f aca="false">IF(B550="","","Visita")</f>
        <v/>
      </c>
      <c r="F550" s="0" t="str">
        <f aca="false">""</f>
        <v/>
      </c>
    </row>
    <row r="551" customFormat="false" ht="15" hidden="false" customHeight="false" outlineLevel="0" collapsed="false">
      <c r="A551" s="0" t="str">
        <f aca="true">IF(B551="","",IF(B551&gt;=TODAY(),B551+ROW()/100000,""))</f>
        <v/>
      </c>
      <c r="B551" s="0" t="str">
        <f aca="false">IF(AND(Visite!A254&lt;&gt;"",Visite!E254&lt;&gt;"Completata",Visite!E254&lt;&gt;"Annullata"),Visite!A254,"")</f>
        <v/>
      </c>
      <c r="C551" s="0" t="str">
        <f aca="false">IF(B551="","","Visita"&amp;IF(Visite!D254="",""," · "&amp;Visite!D254)&amp;IF(Visite!B254="","",IF(ISNUMBER(Visite!B254)," · ore "&amp;TEXT(Visite!B254,"hh:mm")," · "&amp;Visite!B254)))</f>
        <v/>
      </c>
      <c r="D551" s="0" t="str">
        <f aca="false">IF(B551="","",Visite!C254)</f>
        <v/>
      </c>
      <c r="E551" s="0" t="str">
        <f aca="false">IF(B551="","","Visita")</f>
        <v/>
      </c>
      <c r="F551" s="0" t="str">
        <f aca="false">""</f>
        <v/>
      </c>
    </row>
    <row r="552" customFormat="false" ht="15" hidden="false" customHeight="false" outlineLevel="0" collapsed="false">
      <c r="A552" s="0" t="str">
        <f aca="true">IF(B552="","",IF(B552&gt;=TODAY(),B552+ROW()/100000,""))</f>
        <v/>
      </c>
      <c r="B552" s="0" t="str">
        <f aca="false">IF(AND(Visite!A255&lt;&gt;"",Visite!E255&lt;&gt;"Completata",Visite!E255&lt;&gt;"Annullata"),Visite!A255,"")</f>
        <v/>
      </c>
      <c r="C552" s="0" t="str">
        <f aca="false">IF(B552="","","Visita"&amp;IF(Visite!D255="",""," · "&amp;Visite!D255)&amp;IF(Visite!B255="","",IF(ISNUMBER(Visite!B255)," · ore "&amp;TEXT(Visite!B255,"hh:mm")," · "&amp;Visite!B255)))</f>
        <v/>
      </c>
      <c r="D552" s="0" t="str">
        <f aca="false">IF(B552="","",Visite!C255)</f>
        <v/>
      </c>
      <c r="E552" s="0" t="str">
        <f aca="false">IF(B552="","","Visita")</f>
        <v/>
      </c>
      <c r="F552" s="0" t="str">
        <f aca="false">""</f>
        <v/>
      </c>
    </row>
    <row r="553" customFormat="false" ht="15" hidden="false" customHeight="false" outlineLevel="0" collapsed="false">
      <c r="A553" s="0" t="str">
        <f aca="true">IF(B553="","",IF(B553&gt;=TODAY(),B553+ROW()/100000,""))</f>
        <v/>
      </c>
      <c r="B553" s="0" t="str">
        <f aca="false">IF(AND(Visite!A256&lt;&gt;"",Visite!E256&lt;&gt;"Completata",Visite!E256&lt;&gt;"Annullata"),Visite!A256,"")</f>
        <v/>
      </c>
      <c r="C553" s="0" t="str">
        <f aca="false">IF(B553="","","Visita"&amp;IF(Visite!D256="",""," · "&amp;Visite!D256)&amp;IF(Visite!B256="","",IF(ISNUMBER(Visite!B256)," · ore "&amp;TEXT(Visite!B256,"hh:mm")," · "&amp;Visite!B256)))</f>
        <v/>
      </c>
      <c r="D553" s="0" t="str">
        <f aca="false">IF(B553="","",Visite!C256)</f>
        <v/>
      </c>
      <c r="E553" s="0" t="str">
        <f aca="false">IF(B553="","","Visita")</f>
        <v/>
      </c>
      <c r="F553" s="0" t="str">
        <f aca="false">""</f>
        <v/>
      </c>
    </row>
    <row r="554" customFormat="false" ht="15" hidden="false" customHeight="false" outlineLevel="0" collapsed="false">
      <c r="A554" s="0" t="str">
        <f aca="true">IF(B554="","",IF(B554&gt;=TODAY(),B554+ROW()/100000,""))</f>
        <v/>
      </c>
      <c r="B554" s="0" t="str">
        <f aca="false">IF(AND(Visite!A257&lt;&gt;"",Visite!E257&lt;&gt;"Completata",Visite!E257&lt;&gt;"Annullata"),Visite!A257,"")</f>
        <v/>
      </c>
      <c r="C554" s="0" t="str">
        <f aca="false">IF(B554="","","Visita"&amp;IF(Visite!D257="",""," · "&amp;Visite!D257)&amp;IF(Visite!B257="","",IF(ISNUMBER(Visite!B257)," · ore "&amp;TEXT(Visite!B257,"hh:mm")," · "&amp;Visite!B257)))</f>
        <v/>
      </c>
      <c r="D554" s="0" t="str">
        <f aca="false">IF(B554="","",Visite!C257)</f>
        <v/>
      </c>
      <c r="E554" s="0" t="str">
        <f aca="false">IF(B554="","","Visita")</f>
        <v/>
      </c>
      <c r="F554" s="0" t="str">
        <f aca="false">""</f>
        <v/>
      </c>
    </row>
    <row r="555" customFormat="false" ht="15" hidden="false" customHeight="false" outlineLevel="0" collapsed="false">
      <c r="A555" s="0" t="str">
        <f aca="true">IF(B555="","",IF(B555&gt;=TODAY(),B555+ROW()/100000,""))</f>
        <v/>
      </c>
      <c r="B555" s="0" t="str">
        <f aca="false">IF(AND(Visite!A258&lt;&gt;"",Visite!E258&lt;&gt;"Completata",Visite!E258&lt;&gt;"Annullata"),Visite!A258,"")</f>
        <v/>
      </c>
      <c r="C555" s="0" t="str">
        <f aca="false">IF(B555="","","Visita"&amp;IF(Visite!D258="",""," · "&amp;Visite!D258)&amp;IF(Visite!B258="","",IF(ISNUMBER(Visite!B258)," · ore "&amp;TEXT(Visite!B258,"hh:mm")," · "&amp;Visite!B258)))</f>
        <v/>
      </c>
      <c r="D555" s="0" t="str">
        <f aca="false">IF(B555="","",Visite!C258)</f>
        <v/>
      </c>
      <c r="E555" s="0" t="str">
        <f aca="false">IF(B555="","","Visita")</f>
        <v/>
      </c>
      <c r="F555" s="0" t="str">
        <f aca="false">""</f>
        <v/>
      </c>
    </row>
    <row r="556" customFormat="false" ht="15" hidden="false" customHeight="false" outlineLevel="0" collapsed="false">
      <c r="A556" s="0" t="str">
        <f aca="true">IF(B556="","",IF(B556&gt;=TODAY(),B556+ROW()/100000,""))</f>
        <v/>
      </c>
      <c r="B556" s="0" t="str">
        <f aca="false">IF(AND(Visite!A259&lt;&gt;"",Visite!E259&lt;&gt;"Completata",Visite!E259&lt;&gt;"Annullata"),Visite!A259,"")</f>
        <v/>
      </c>
      <c r="C556" s="0" t="str">
        <f aca="false">IF(B556="","","Visita"&amp;IF(Visite!D259="",""," · "&amp;Visite!D259)&amp;IF(Visite!B259="","",IF(ISNUMBER(Visite!B259)," · ore "&amp;TEXT(Visite!B259,"hh:mm")," · "&amp;Visite!B259)))</f>
        <v/>
      </c>
      <c r="D556" s="0" t="str">
        <f aca="false">IF(B556="","",Visite!C259)</f>
        <v/>
      </c>
      <c r="E556" s="0" t="str">
        <f aca="false">IF(B556="","","Visita")</f>
        <v/>
      </c>
      <c r="F556" s="0" t="str">
        <f aca="false">""</f>
        <v/>
      </c>
    </row>
    <row r="557" customFormat="false" ht="15" hidden="false" customHeight="false" outlineLevel="0" collapsed="false">
      <c r="A557" s="0" t="str">
        <f aca="true">IF(B557="","",IF(B557&gt;=TODAY(),B557+ROW()/100000,""))</f>
        <v/>
      </c>
      <c r="B557" s="0" t="str">
        <f aca="false">IF(AND(Visite!A260&lt;&gt;"",Visite!E260&lt;&gt;"Completata",Visite!E260&lt;&gt;"Annullata"),Visite!A260,"")</f>
        <v/>
      </c>
      <c r="C557" s="0" t="str">
        <f aca="false">IF(B557="","","Visita"&amp;IF(Visite!D260="",""," · "&amp;Visite!D260)&amp;IF(Visite!B260="","",IF(ISNUMBER(Visite!B260)," · ore "&amp;TEXT(Visite!B260,"hh:mm")," · "&amp;Visite!B260)))</f>
        <v/>
      </c>
      <c r="D557" s="0" t="str">
        <f aca="false">IF(B557="","",Visite!C260)</f>
        <v/>
      </c>
      <c r="E557" s="0" t="str">
        <f aca="false">IF(B557="","","Visita")</f>
        <v/>
      </c>
      <c r="F557" s="0" t="str">
        <f aca="false">""</f>
        <v/>
      </c>
    </row>
    <row r="558" customFormat="false" ht="15" hidden="false" customHeight="false" outlineLevel="0" collapsed="false">
      <c r="A558" s="0" t="str">
        <f aca="true">IF(B558="","",IF(B558&gt;=TODAY(),B558+ROW()/100000,""))</f>
        <v/>
      </c>
      <c r="B558" s="0" t="str">
        <f aca="false">IF(AND(Visite!A261&lt;&gt;"",Visite!E261&lt;&gt;"Completata",Visite!E261&lt;&gt;"Annullata"),Visite!A261,"")</f>
        <v/>
      </c>
      <c r="C558" s="0" t="str">
        <f aca="false">IF(B558="","","Visita"&amp;IF(Visite!D261="",""," · "&amp;Visite!D261)&amp;IF(Visite!B261="","",IF(ISNUMBER(Visite!B261)," · ore "&amp;TEXT(Visite!B261,"hh:mm")," · "&amp;Visite!B261)))</f>
        <v/>
      </c>
      <c r="D558" s="0" t="str">
        <f aca="false">IF(B558="","",Visite!C261)</f>
        <v/>
      </c>
      <c r="E558" s="0" t="str">
        <f aca="false">IF(B558="","","Visita")</f>
        <v/>
      </c>
      <c r="F558" s="0" t="str">
        <f aca="false">""</f>
        <v/>
      </c>
    </row>
    <row r="559" customFormat="false" ht="15" hidden="false" customHeight="false" outlineLevel="0" collapsed="false">
      <c r="A559" s="0" t="str">
        <f aca="true">IF(B559="","",IF(B559&gt;=TODAY(),B559+ROW()/100000,""))</f>
        <v/>
      </c>
      <c r="B559" s="0" t="str">
        <f aca="false">IF(AND(Visite!A262&lt;&gt;"",Visite!E262&lt;&gt;"Completata",Visite!E262&lt;&gt;"Annullata"),Visite!A262,"")</f>
        <v/>
      </c>
      <c r="C559" s="0" t="str">
        <f aca="false">IF(B559="","","Visita"&amp;IF(Visite!D262="",""," · "&amp;Visite!D262)&amp;IF(Visite!B262="","",IF(ISNUMBER(Visite!B262)," · ore "&amp;TEXT(Visite!B262,"hh:mm")," · "&amp;Visite!B262)))</f>
        <v/>
      </c>
      <c r="D559" s="0" t="str">
        <f aca="false">IF(B559="","",Visite!C262)</f>
        <v/>
      </c>
      <c r="E559" s="0" t="str">
        <f aca="false">IF(B559="","","Visita")</f>
        <v/>
      </c>
      <c r="F559" s="0" t="str">
        <f aca="false">""</f>
        <v/>
      </c>
    </row>
    <row r="560" customFormat="false" ht="15" hidden="false" customHeight="false" outlineLevel="0" collapsed="false">
      <c r="A560" s="0" t="str">
        <f aca="true">IF(B560="","",IF(B560&gt;=TODAY(),B560+ROW()/100000,""))</f>
        <v/>
      </c>
      <c r="B560" s="0" t="str">
        <f aca="false">IF(AND(Visite!A263&lt;&gt;"",Visite!E263&lt;&gt;"Completata",Visite!E263&lt;&gt;"Annullata"),Visite!A263,"")</f>
        <v/>
      </c>
      <c r="C560" s="0" t="str">
        <f aca="false">IF(B560="","","Visita"&amp;IF(Visite!D263="",""," · "&amp;Visite!D263)&amp;IF(Visite!B263="","",IF(ISNUMBER(Visite!B263)," · ore "&amp;TEXT(Visite!B263,"hh:mm")," · "&amp;Visite!B263)))</f>
        <v/>
      </c>
      <c r="D560" s="0" t="str">
        <f aca="false">IF(B560="","",Visite!C263)</f>
        <v/>
      </c>
      <c r="E560" s="0" t="str">
        <f aca="false">IF(B560="","","Visita")</f>
        <v/>
      </c>
      <c r="F560" s="0" t="str">
        <f aca="false">""</f>
        <v/>
      </c>
    </row>
    <row r="561" customFormat="false" ht="15" hidden="false" customHeight="false" outlineLevel="0" collapsed="false">
      <c r="A561" s="0" t="str">
        <f aca="true">IF(B561="","",IF(B561&gt;=TODAY(),B561+ROW()/100000,""))</f>
        <v/>
      </c>
      <c r="B561" s="0" t="str">
        <f aca="false">IF(AND(Visite!A264&lt;&gt;"",Visite!E264&lt;&gt;"Completata",Visite!E264&lt;&gt;"Annullata"),Visite!A264,"")</f>
        <v/>
      </c>
      <c r="C561" s="0" t="str">
        <f aca="false">IF(B561="","","Visita"&amp;IF(Visite!D264="",""," · "&amp;Visite!D264)&amp;IF(Visite!B264="","",IF(ISNUMBER(Visite!B264)," · ore "&amp;TEXT(Visite!B264,"hh:mm")," · "&amp;Visite!B264)))</f>
        <v/>
      </c>
      <c r="D561" s="0" t="str">
        <f aca="false">IF(B561="","",Visite!C264)</f>
        <v/>
      </c>
      <c r="E561" s="0" t="str">
        <f aca="false">IF(B561="","","Visita")</f>
        <v/>
      </c>
      <c r="F561" s="0" t="str">
        <f aca="false">""</f>
        <v/>
      </c>
    </row>
    <row r="562" customFormat="false" ht="15" hidden="false" customHeight="false" outlineLevel="0" collapsed="false">
      <c r="A562" s="0" t="str">
        <f aca="true">IF(B562="","",IF(B562&gt;=TODAY(),B562+ROW()/100000,""))</f>
        <v/>
      </c>
      <c r="B562" s="0" t="str">
        <f aca="false">IF(AND(Visite!A265&lt;&gt;"",Visite!E265&lt;&gt;"Completata",Visite!E265&lt;&gt;"Annullata"),Visite!A265,"")</f>
        <v/>
      </c>
      <c r="C562" s="0" t="str">
        <f aca="false">IF(B562="","","Visita"&amp;IF(Visite!D265="",""," · "&amp;Visite!D265)&amp;IF(Visite!B265="","",IF(ISNUMBER(Visite!B265)," · ore "&amp;TEXT(Visite!B265,"hh:mm")," · "&amp;Visite!B265)))</f>
        <v/>
      </c>
      <c r="D562" s="0" t="str">
        <f aca="false">IF(B562="","",Visite!C265)</f>
        <v/>
      </c>
      <c r="E562" s="0" t="str">
        <f aca="false">IF(B562="","","Visita")</f>
        <v/>
      </c>
      <c r="F562" s="0" t="str">
        <f aca="false">""</f>
        <v/>
      </c>
    </row>
    <row r="563" customFormat="false" ht="15" hidden="false" customHeight="false" outlineLevel="0" collapsed="false">
      <c r="A563" s="0" t="str">
        <f aca="true">IF(B563="","",IF(B563&gt;=TODAY(),B563+ROW()/100000,""))</f>
        <v/>
      </c>
      <c r="B563" s="0" t="str">
        <f aca="false">IF(AND(Visite!A266&lt;&gt;"",Visite!E266&lt;&gt;"Completata",Visite!E266&lt;&gt;"Annullata"),Visite!A266,"")</f>
        <v/>
      </c>
      <c r="C563" s="0" t="str">
        <f aca="false">IF(B563="","","Visita"&amp;IF(Visite!D266="",""," · "&amp;Visite!D266)&amp;IF(Visite!B266="","",IF(ISNUMBER(Visite!B266)," · ore "&amp;TEXT(Visite!B266,"hh:mm")," · "&amp;Visite!B266)))</f>
        <v/>
      </c>
      <c r="D563" s="0" t="str">
        <f aca="false">IF(B563="","",Visite!C266)</f>
        <v/>
      </c>
      <c r="E563" s="0" t="str">
        <f aca="false">IF(B563="","","Visita")</f>
        <v/>
      </c>
      <c r="F563" s="0" t="str">
        <f aca="false">""</f>
        <v/>
      </c>
    </row>
    <row r="564" customFormat="false" ht="15" hidden="false" customHeight="false" outlineLevel="0" collapsed="false">
      <c r="A564" s="0" t="str">
        <f aca="true">IF(B564="","",IF(B564&gt;=TODAY(),B564+ROW()/100000,""))</f>
        <v/>
      </c>
      <c r="B564" s="0" t="str">
        <f aca="false">IF(AND(Visite!A267&lt;&gt;"",Visite!E267&lt;&gt;"Completata",Visite!E267&lt;&gt;"Annullata"),Visite!A267,"")</f>
        <v/>
      </c>
      <c r="C564" s="0" t="str">
        <f aca="false">IF(B564="","","Visita"&amp;IF(Visite!D267="",""," · "&amp;Visite!D267)&amp;IF(Visite!B267="","",IF(ISNUMBER(Visite!B267)," · ore "&amp;TEXT(Visite!B267,"hh:mm")," · "&amp;Visite!B267)))</f>
        <v/>
      </c>
      <c r="D564" s="0" t="str">
        <f aca="false">IF(B564="","",Visite!C267)</f>
        <v/>
      </c>
      <c r="E564" s="0" t="str">
        <f aca="false">IF(B564="","","Visita")</f>
        <v/>
      </c>
      <c r="F564" s="0" t="str">
        <f aca="false">""</f>
        <v/>
      </c>
    </row>
    <row r="565" customFormat="false" ht="15" hidden="false" customHeight="false" outlineLevel="0" collapsed="false">
      <c r="A565" s="0" t="str">
        <f aca="true">IF(B565="","",IF(B565&gt;=TODAY(),B565+ROW()/100000,""))</f>
        <v/>
      </c>
      <c r="B565" s="0" t="str">
        <f aca="false">IF(AND(Visite!A268&lt;&gt;"",Visite!E268&lt;&gt;"Completata",Visite!E268&lt;&gt;"Annullata"),Visite!A268,"")</f>
        <v/>
      </c>
      <c r="C565" s="0" t="str">
        <f aca="false">IF(B565="","","Visita"&amp;IF(Visite!D268="",""," · "&amp;Visite!D268)&amp;IF(Visite!B268="","",IF(ISNUMBER(Visite!B268)," · ore "&amp;TEXT(Visite!B268,"hh:mm")," · "&amp;Visite!B268)))</f>
        <v/>
      </c>
      <c r="D565" s="0" t="str">
        <f aca="false">IF(B565="","",Visite!C268)</f>
        <v/>
      </c>
      <c r="E565" s="0" t="str">
        <f aca="false">IF(B565="","","Visita")</f>
        <v/>
      </c>
      <c r="F565" s="0" t="str">
        <f aca="false">""</f>
        <v/>
      </c>
    </row>
    <row r="566" customFormat="false" ht="15" hidden="false" customHeight="false" outlineLevel="0" collapsed="false">
      <c r="A566" s="0" t="str">
        <f aca="true">IF(B566="","",IF(B566&gt;=TODAY(),B566+ROW()/100000,""))</f>
        <v/>
      </c>
      <c r="B566" s="0" t="str">
        <f aca="false">IF(AND(Visite!A269&lt;&gt;"",Visite!E269&lt;&gt;"Completata",Visite!E269&lt;&gt;"Annullata"),Visite!A269,"")</f>
        <v/>
      </c>
      <c r="C566" s="0" t="str">
        <f aca="false">IF(B566="","","Visita"&amp;IF(Visite!D269="",""," · "&amp;Visite!D269)&amp;IF(Visite!B269="","",IF(ISNUMBER(Visite!B269)," · ore "&amp;TEXT(Visite!B269,"hh:mm")," · "&amp;Visite!B269)))</f>
        <v/>
      </c>
      <c r="D566" s="0" t="str">
        <f aca="false">IF(B566="","",Visite!C269)</f>
        <v/>
      </c>
      <c r="E566" s="0" t="str">
        <f aca="false">IF(B566="","","Visita")</f>
        <v/>
      </c>
      <c r="F566" s="0" t="str">
        <f aca="false">""</f>
        <v/>
      </c>
    </row>
    <row r="567" customFormat="false" ht="15" hidden="false" customHeight="false" outlineLevel="0" collapsed="false">
      <c r="A567" s="0" t="str">
        <f aca="true">IF(B567="","",IF(B567&gt;=TODAY(),B567+ROW()/100000,""))</f>
        <v/>
      </c>
      <c r="B567" s="0" t="str">
        <f aca="false">IF(AND(Visite!A270&lt;&gt;"",Visite!E270&lt;&gt;"Completata",Visite!E270&lt;&gt;"Annullata"),Visite!A270,"")</f>
        <v/>
      </c>
      <c r="C567" s="0" t="str">
        <f aca="false">IF(B567="","","Visita"&amp;IF(Visite!D270="",""," · "&amp;Visite!D270)&amp;IF(Visite!B270="","",IF(ISNUMBER(Visite!B270)," · ore "&amp;TEXT(Visite!B270,"hh:mm")," · "&amp;Visite!B270)))</f>
        <v/>
      </c>
      <c r="D567" s="0" t="str">
        <f aca="false">IF(B567="","",Visite!C270)</f>
        <v/>
      </c>
      <c r="E567" s="0" t="str">
        <f aca="false">IF(B567="","","Visita")</f>
        <v/>
      </c>
      <c r="F567" s="0" t="str">
        <f aca="false">""</f>
        <v/>
      </c>
    </row>
    <row r="568" customFormat="false" ht="15" hidden="false" customHeight="false" outlineLevel="0" collapsed="false">
      <c r="A568" s="0" t="str">
        <f aca="true">IF(B568="","",IF(B568&gt;=TODAY(),B568+ROW()/100000,""))</f>
        <v/>
      </c>
      <c r="B568" s="0" t="str">
        <f aca="false">IF(AND(Visite!A271&lt;&gt;"",Visite!E271&lt;&gt;"Completata",Visite!E271&lt;&gt;"Annullata"),Visite!A271,"")</f>
        <v/>
      </c>
      <c r="C568" s="0" t="str">
        <f aca="false">IF(B568="","","Visita"&amp;IF(Visite!D271="",""," · "&amp;Visite!D271)&amp;IF(Visite!B271="","",IF(ISNUMBER(Visite!B271)," · ore "&amp;TEXT(Visite!B271,"hh:mm")," · "&amp;Visite!B271)))</f>
        <v/>
      </c>
      <c r="D568" s="0" t="str">
        <f aca="false">IF(B568="","",Visite!C271)</f>
        <v/>
      </c>
      <c r="E568" s="0" t="str">
        <f aca="false">IF(B568="","","Visita")</f>
        <v/>
      </c>
      <c r="F568" s="0" t="str">
        <f aca="false">""</f>
        <v/>
      </c>
    </row>
    <row r="569" customFormat="false" ht="15" hidden="false" customHeight="false" outlineLevel="0" collapsed="false">
      <c r="A569" s="0" t="str">
        <f aca="true">IF(B569="","",IF(B569&gt;=TODAY(),B569+ROW()/100000,""))</f>
        <v/>
      </c>
      <c r="B569" s="0" t="str">
        <f aca="false">IF(AND(Visite!A272&lt;&gt;"",Visite!E272&lt;&gt;"Completata",Visite!E272&lt;&gt;"Annullata"),Visite!A272,"")</f>
        <v/>
      </c>
      <c r="C569" s="0" t="str">
        <f aca="false">IF(B569="","","Visita"&amp;IF(Visite!D272="",""," · "&amp;Visite!D272)&amp;IF(Visite!B272="","",IF(ISNUMBER(Visite!B272)," · ore "&amp;TEXT(Visite!B272,"hh:mm")," · "&amp;Visite!B272)))</f>
        <v/>
      </c>
      <c r="D569" s="0" t="str">
        <f aca="false">IF(B569="","",Visite!C272)</f>
        <v/>
      </c>
      <c r="E569" s="0" t="str">
        <f aca="false">IF(B569="","","Visita")</f>
        <v/>
      </c>
      <c r="F569" s="0" t="str">
        <f aca="false">""</f>
        <v/>
      </c>
    </row>
    <row r="570" customFormat="false" ht="15" hidden="false" customHeight="false" outlineLevel="0" collapsed="false">
      <c r="A570" s="0" t="str">
        <f aca="true">IF(B570="","",IF(B570&gt;=TODAY(),B570+ROW()/100000,""))</f>
        <v/>
      </c>
      <c r="B570" s="0" t="str">
        <f aca="false">IF(AND(Visite!A273&lt;&gt;"",Visite!E273&lt;&gt;"Completata",Visite!E273&lt;&gt;"Annullata"),Visite!A273,"")</f>
        <v/>
      </c>
      <c r="C570" s="0" t="str">
        <f aca="false">IF(B570="","","Visita"&amp;IF(Visite!D273="",""," · "&amp;Visite!D273)&amp;IF(Visite!B273="","",IF(ISNUMBER(Visite!B273)," · ore "&amp;TEXT(Visite!B273,"hh:mm")," · "&amp;Visite!B273)))</f>
        <v/>
      </c>
      <c r="D570" s="0" t="str">
        <f aca="false">IF(B570="","",Visite!C273)</f>
        <v/>
      </c>
      <c r="E570" s="0" t="str">
        <f aca="false">IF(B570="","","Visita")</f>
        <v/>
      </c>
      <c r="F570" s="0" t="str">
        <f aca="false">""</f>
        <v/>
      </c>
    </row>
    <row r="571" customFormat="false" ht="15" hidden="false" customHeight="false" outlineLevel="0" collapsed="false">
      <c r="A571" s="0" t="str">
        <f aca="true">IF(B571="","",IF(B571&gt;=TODAY(),B571+ROW()/100000,""))</f>
        <v/>
      </c>
      <c r="B571" s="0" t="str">
        <f aca="false">IF(AND(Visite!A274&lt;&gt;"",Visite!E274&lt;&gt;"Completata",Visite!E274&lt;&gt;"Annullata"),Visite!A274,"")</f>
        <v/>
      </c>
      <c r="C571" s="0" t="str">
        <f aca="false">IF(B571="","","Visita"&amp;IF(Visite!D274="",""," · "&amp;Visite!D274)&amp;IF(Visite!B274="","",IF(ISNUMBER(Visite!B274)," · ore "&amp;TEXT(Visite!B274,"hh:mm")," · "&amp;Visite!B274)))</f>
        <v/>
      </c>
      <c r="D571" s="0" t="str">
        <f aca="false">IF(B571="","",Visite!C274)</f>
        <v/>
      </c>
      <c r="E571" s="0" t="str">
        <f aca="false">IF(B571="","","Visita")</f>
        <v/>
      </c>
      <c r="F571" s="0" t="str">
        <f aca="false">""</f>
        <v/>
      </c>
    </row>
    <row r="572" customFormat="false" ht="15" hidden="false" customHeight="false" outlineLevel="0" collapsed="false">
      <c r="A572" s="0" t="str">
        <f aca="true">IF(B572="","",IF(B572&gt;=TODAY(),B572+ROW()/100000,""))</f>
        <v/>
      </c>
      <c r="B572" s="0" t="str">
        <f aca="false">IF(AND(Visite!A275&lt;&gt;"",Visite!E275&lt;&gt;"Completata",Visite!E275&lt;&gt;"Annullata"),Visite!A275,"")</f>
        <v/>
      </c>
      <c r="C572" s="0" t="str">
        <f aca="false">IF(B572="","","Visita"&amp;IF(Visite!D275="",""," · "&amp;Visite!D275)&amp;IF(Visite!B275="","",IF(ISNUMBER(Visite!B275)," · ore "&amp;TEXT(Visite!B275,"hh:mm")," · "&amp;Visite!B275)))</f>
        <v/>
      </c>
      <c r="D572" s="0" t="str">
        <f aca="false">IF(B572="","",Visite!C275)</f>
        <v/>
      </c>
      <c r="E572" s="0" t="str">
        <f aca="false">IF(B572="","","Visita")</f>
        <v/>
      </c>
      <c r="F572" s="0" t="str">
        <f aca="false">""</f>
        <v/>
      </c>
    </row>
    <row r="573" customFormat="false" ht="15" hidden="false" customHeight="false" outlineLevel="0" collapsed="false">
      <c r="A573" s="0" t="str">
        <f aca="true">IF(B573="","",IF(B573&gt;=TODAY(),B573+ROW()/100000,""))</f>
        <v/>
      </c>
      <c r="B573" s="0" t="str">
        <f aca="false">IF(AND(Visite!A276&lt;&gt;"",Visite!E276&lt;&gt;"Completata",Visite!E276&lt;&gt;"Annullata"),Visite!A276,"")</f>
        <v/>
      </c>
      <c r="C573" s="0" t="str">
        <f aca="false">IF(B573="","","Visita"&amp;IF(Visite!D276="",""," · "&amp;Visite!D276)&amp;IF(Visite!B276="","",IF(ISNUMBER(Visite!B276)," · ore "&amp;TEXT(Visite!B276,"hh:mm")," · "&amp;Visite!B276)))</f>
        <v/>
      </c>
      <c r="D573" s="0" t="str">
        <f aca="false">IF(B573="","",Visite!C276)</f>
        <v/>
      </c>
      <c r="E573" s="0" t="str">
        <f aca="false">IF(B573="","","Visita")</f>
        <v/>
      </c>
      <c r="F573" s="0" t="str">
        <f aca="false">""</f>
        <v/>
      </c>
    </row>
    <row r="574" customFormat="false" ht="15" hidden="false" customHeight="false" outlineLevel="0" collapsed="false">
      <c r="A574" s="0" t="str">
        <f aca="true">IF(B574="","",IF(B574&gt;=TODAY(),B574+ROW()/100000,""))</f>
        <v/>
      </c>
      <c r="B574" s="0" t="str">
        <f aca="false">IF(AND(Visite!A277&lt;&gt;"",Visite!E277&lt;&gt;"Completata",Visite!E277&lt;&gt;"Annullata"),Visite!A277,"")</f>
        <v/>
      </c>
      <c r="C574" s="0" t="str">
        <f aca="false">IF(B574="","","Visita"&amp;IF(Visite!D277="",""," · "&amp;Visite!D277)&amp;IF(Visite!B277="","",IF(ISNUMBER(Visite!B277)," · ore "&amp;TEXT(Visite!B277,"hh:mm")," · "&amp;Visite!B277)))</f>
        <v/>
      </c>
      <c r="D574" s="0" t="str">
        <f aca="false">IF(B574="","",Visite!C277)</f>
        <v/>
      </c>
      <c r="E574" s="0" t="str">
        <f aca="false">IF(B574="","","Visita")</f>
        <v/>
      </c>
      <c r="F574" s="0" t="str">
        <f aca="false">""</f>
        <v/>
      </c>
    </row>
    <row r="575" customFormat="false" ht="15" hidden="false" customHeight="false" outlineLevel="0" collapsed="false">
      <c r="A575" s="0" t="str">
        <f aca="true">IF(B575="","",IF(B575&gt;=TODAY(),B575+ROW()/100000,""))</f>
        <v/>
      </c>
      <c r="B575" s="0" t="str">
        <f aca="false">IF(AND(Visite!A278&lt;&gt;"",Visite!E278&lt;&gt;"Completata",Visite!E278&lt;&gt;"Annullata"),Visite!A278,"")</f>
        <v/>
      </c>
      <c r="C575" s="0" t="str">
        <f aca="false">IF(B575="","","Visita"&amp;IF(Visite!D278="",""," · "&amp;Visite!D278)&amp;IF(Visite!B278="","",IF(ISNUMBER(Visite!B278)," · ore "&amp;TEXT(Visite!B278,"hh:mm")," · "&amp;Visite!B278)))</f>
        <v/>
      </c>
      <c r="D575" s="0" t="str">
        <f aca="false">IF(B575="","",Visite!C278)</f>
        <v/>
      </c>
      <c r="E575" s="0" t="str">
        <f aca="false">IF(B575="","","Visita")</f>
        <v/>
      </c>
      <c r="F575" s="0" t="str">
        <f aca="false">""</f>
        <v/>
      </c>
    </row>
    <row r="576" customFormat="false" ht="15" hidden="false" customHeight="false" outlineLevel="0" collapsed="false">
      <c r="A576" s="0" t="str">
        <f aca="true">IF(B576="","",IF(B576&gt;=TODAY(),B576+ROW()/100000,""))</f>
        <v/>
      </c>
      <c r="B576" s="0" t="str">
        <f aca="false">IF(AND(Visite!A279&lt;&gt;"",Visite!E279&lt;&gt;"Completata",Visite!E279&lt;&gt;"Annullata"),Visite!A279,"")</f>
        <v/>
      </c>
      <c r="C576" s="0" t="str">
        <f aca="false">IF(B576="","","Visita"&amp;IF(Visite!D279="",""," · "&amp;Visite!D279)&amp;IF(Visite!B279="","",IF(ISNUMBER(Visite!B279)," · ore "&amp;TEXT(Visite!B279,"hh:mm")," · "&amp;Visite!B279)))</f>
        <v/>
      </c>
      <c r="D576" s="0" t="str">
        <f aca="false">IF(B576="","",Visite!C279)</f>
        <v/>
      </c>
      <c r="E576" s="0" t="str">
        <f aca="false">IF(B576="","","Visita")</f>
        <v/>
      </c>
      <c r="F576" s="0" t="str">
        <f aca="false">""</f>
        <v/>
      </c>
    </row>
    <row r="577" customFormat="false" ht="15" hidden="false" customHeight="false" outlineLevel="0" collapsed="false">
      <c r="A577" s="0" t="str">
        <f aca="true">IF(B577="","",IF(B577&gt;=TODAY(),B577+ROW()/100000,""))</f>
        <v/>
      </c>
      <c r="B577" s="0" t="str">
        <f aca="false">IF(AND(Visite!A280&lt;&gt;"",Visite!E280&lt;&gt;"Completata",Visite!E280&lt;&gt;"Annullata"),Visite!A280,"")</f>
        <v/>
      </c>
      <c r="C577" s="0" t="str">
        <f aca="false">IF(B577="","","Visita"&amp;IF(Visite!D280="",""," · "&amp;Visite!D280)&amp;IF(Visite!B280="","",IF(ISNUMBER(Visite!B280)," · ore "&amp;TEXT(Visite!B280,"hh:mm")," · "&amp;Visite!B280)))</f>
        <v/>
      </c>
      <c r="D577" s="0" t="str">
        <f aca="false">IF(B577="","",Visite!C280)</f>
        <v/>
      </c>
      <c r="E577" s="0" t="str">
        <f aca="false">IF(B577="","","Visita")</f>
        <v/>
      </c>
      <c r="F577" s="0" t="str">
        <f aca="false">""</f>
        <v/>
      </c>
    </row>
    <row r="578" customFormat="false" ht="15" hidden="false" customHeight="false" outlineLevel="0" collapsed="false">
      <c r="A578" s="0" t="str">
        <f aca="true">IF(B578="","",IF(B578&gt;=TODAY(),B578+ROW()/100000,""))</f>
        <v/>
      </c>
      <c r="B578" s="0" t="str">
        <f aca="false">IF(AND(Visite!A281&lt;&gt;"",Visite!E281&lt;&gt;"Completata",Visite!E281&lt;&gt;"Annullata"),Visite!A281,"")</f>
        <v/>
      </c>
      <c r="C578" s="0" t="str">
        <f aca="false">IF(B578="","","Visita"&amp;IF(Visite!D281="",""," · "&amp;Visite!D281)&amp;IF(Visite!B281="","",IF(ISNUMBER(Visite!B281)," · ore "&amp;TEXT(Visite!B281,"hh:mm")," · "&amp;Visite!B281)))</f>
        <v/>
      </c>
      <c r="D578" s="0" t="str">
        <f aca="false">IF(B578="","",Visite!C281)</f>
        <v/>
      </c>
      <c r="E578" s="0" t="str">
        <f aca="false">IF(B578="","","Visita")</f>
        <v/>
      </c>
      <c r="F578" s="0" t="str">
        <f aca="false">""</f>
        <v/>
      </c>
    </row>
    <row r="579" customFormat="false" ht="15" hidden="false" customHeight="false" outlineLevel="0" collapsed="false">
      <c r="A579" s="0" t="str">
        <f aca="true">IF(B579="","",IF(B579&gt;=TODAY(),B579+ROW()/100000,""))</f>
        <v/>
      </c>
      <c r="B579" s="0" t="str">
        <f aca="false">IF(AND(Visite!A282&lt;&gt;"",Visite!E282&lt;&gt;"Completata",Visite!E282&lt;&gt;"Annullata"),Visite!A282,"")</f>
        <v/>
      </c>
      <c r="C579" s="0" t="str">
        <f aca="false">IF(B579="","","Visita"&amp;IF(Visite!D282="",""," · "&amp;Visite!D282)&amp;IF(Visite!B282="","",IF(ISNUMBER(Visite!B282)," · ore "&amp;TEXT(Visite!B282,"hh:mm")," · "&amp;Visite!B282)))</f>
        <v/>
      </c>
      <c r="D579" s="0" t="str">
        <f aca="false">IF(B579="","",Visite!C282)</f>
        <v/>
      </c>
      <c r="E579" s="0" t="str">
        <f aca="false">IF(B579="","","Visita")</f>
        <v/>
      </c>
      <c r="F579" s="0" t="str">
        <f aca="false">""</f>
        <v/>
      </c>
    </row>
    <row r="580" customFormat="false" ht="15" hidden="false" customHeight="false" outlineLevel="0" collapsed="false">
      <c r="A580" s="0" t="str">
        <f aca="true">IF(B580="","",IF(B580&gt;=TODAY(),B580+ROW()/100000,""))</f>
        <v/>
      </c>
      <c r="B580" s="0" t="str">
        <f aca="false">IF(AND(Visite!A283&lt;&gt;"",Visite!E283&lt;&gt;"Completata",Visite!E283&lt;&gt;"Annullata"),Visite!A283,"")</f>
        <v/>
      </c>
      <c r="C580" s="0" t="str">
        <f aca="false">IF(B580="","","Visita"&amp;IF(Visite!D283="",""," · "&amp;Visite!D283)&amp;IF(Visite!B283="","",IF(ISNUMBER(Visite!B283)," · ore "&amp;TEXT(Visite!B283,"hh:mm")," · "&amp;Visite!B283)))</f>
        <v/>
      </c>
      <c r="D580" s="0" t="str">
        <f aca="false">IF(B580="","",Visite!C283)</f>
        <v/>
      </c>
      <c r="E580" s="0" t="str">
        <f aca="false">IF(B580="","","Visita")</f>
        <v/>
      </c>
      <c r="F580" s="0" t="str">
        <f aca="false">""</f>
        <v/>
      </c>
    </row>
    <row r="581" customFormat="false" ht="15" hidden="false" customHeight="false" outlineLevel="0" collapsed="false">
      <c r="A581" s="0" t="str">
        <f aca="true">IF(B581="","",IF(B581&gt;=TODAY(),B581+ROW()/100000,""))</f>
        <v/>
      </c>
      <c r="B581" s="0" t="str">
        <f aca="false">IF(AND(Visite!A284&lt;&gt;"",Visite!E284&lt;&gt;"Completata",Visite!E284&lt;&gt;"Annullata"),Visite!A284,"")</f>
        <v/>
      </c>
      <c r="C581" s="0" t="str">
        <f aca="false">IF(B581="","","Visita"&amp;IF(Visite!D284="",""," · "&amp;Visite!D284)&amp;IF(Visite!B284="","",IF(ISNUMBER(Visite!B284)," · ore "&amp;TEXT(Visite!B284,"hh:mm")," · "&amp;Visite!B284)))</f>
        <v/>
      </c>
      <c r="D581" s="0" t="str">
        <f aca="false">IF(B581="","",Visite!C284)</f>
        <v/>
      </c>
      <c r="E581" s="0" t="str">
        <f aca="false">IF(B581="","","Visita")</f>
        <v/>
      </c>
      <c r="F581" s="0" t="str">
        <f aca="false">""</f>
        <v/>
      </c>
    </row>
    <row r="582" customFormat="false" ht="15" hidden="false" customHeight="false" outlineLevel="0" collapsed="false">
      <c r="A582" s="0" t="str">
        <f aca="true">IF(B582="","",IF(B582&gt;=TODAY(),B582+ROW()/100000,""))</f>
        <v/>
      </c>
      <c r="B582" s="0" t="str">
        <f aca="false">IF(AND(Visite!A285&lt;&gt;"",Visite!E285&lt;&gt;"Completata",Visite!E285&lt;&gt;"Annullata"),Visite!A285,"")</f>
        <v/>
      </c>
      <c r="C582" s="0" t="str">
        <f aca="false">IF(B582="","","Visita"&amp;IF(Visite!D285="",""," · "&amp;Visite!D285)&amp;IF(Visite!B285="","",IF(ISNUMBER(Visite!B285)," · ore "&amp;TEXT(Visite!B285,"hh:mm")," · "&amp;Visite!B285)))</f>
        <v/>
      </c>
      <c r="D582" s="0" t="str">
        <f aca="false">IF(B582="","",Visite!C285)</f>
        <v/>
      </c>
      <c r="E582" s="0" t="str">
        <f aca="false">IF(B582="","","Visita")</f>
        <v/>
      </c>
      <c r="F582" s="0" t="str">
        <f aca="false">""</f>
        <v/>
      </c>
    </row>
    <row r="583" customFormat="false" ht="15" hidden="false" customHeight="false" outlineLevel="0" collapsed="false">
      <c r="A583" s="0" t="str">
        <f aca="true">IF(B583="","",IF(B583&gt;=TODAY(),B583+ROW()/100000,""))</f>
        <v/>
      </c>
      <c r="B583" s="0" t="str">
        <f aca="false">IF(AND(Visite!A286&lt;&gt;"",Visite!E286&lt;&gt;"Completata",Visite!E286&lt;&gt;"Annullata"),Visite!A286,"")</f>
        <v/>
      </c>
      <c r="C583" s="0" t="str">
        <f aca="false">IF(B583="","","Visita"&amp;IF(Visite!D286="",""," · "&amp;Visite!D286)&amp;IF(Visite!B286="","",IF(ISNUMBER(Visite!B286)," · ore "&amp;TEXT(Visite!B286,"hh:mm")," · "&amp;Visite!B286)))</f>
        <v/>
      </c>
      <c r="D583" s="0" t="str">
        <f aca="false">IF(B583="","",Visite!C286)</f>
        <v/>
      </c>
      <c r="E583" s="0" t="str">
        <f aca="false">IF(B583="","","Visita")</f>
        <v/>
      </c>
      <c r="F583" s="0" t="str">
        <f aca="false">""</f>
        <v/>
      </c>
    </row>
    <row r="584" customFormat="false" ht="15" hidden="false" customHeight="false" outlineLevel="0" collapsed="false">
      <c r="A584" s="0" t="str">
        <f aca="true">IF(B584="","",IF(B584&gt;=TODAY(),B584+ROW()/100000,""))</f>
        <v/>
      </c>
      <c r="B584" s="0" t="str">
        <f aca="false">IF(AND(Visite!A287&lt;&gt;"",Visite!E287&lt;&gt;"Completata",Visite!E287&lt;&gt;"Annullata"),Visite!A287,"")</f>
        <v/>
      </c>
      <c r="C584" s="0" t="str">
        <f aca="false">IF(B584="","","Visita"&amp;IF(Visite!D287="",""," · "&amp;Visite!D287)&amp;IF(Visite!B287="","",IF(ISNUMBER(Visite!B287)," · ore "&amp;TEXT(Visite!B287,"hh:mm")," · "&amp;Visite!B287)))</f>
        <v/>
      </c>
      <c r="D584" s="0" t="str">
        <f aca="false">IF(B584="","",Visite!C287)</f>
        <v/>
      </c>
      <c r="E584" s="0" t="str">
        <f aca="false">IF(B584="","","Visita")</f>
        <v/>
      </c>
      <c r="F584" s="0" t="str">
        <f aca="false">""</f>
        <v/>
      </c>
    </row>
    <row r="585" customFormat="false" ht="15" hidden="false" customHeight="false" outlineLevel="0" collapsed="false">
      <c r="A585" s="0" t="str">
        <f aca="true">IF(B585="","",IF(B585&gt;=TODAY(),B585+ROW()/100000,""))</f>
        <v/>
      </c>
      <c r="B585" s="0" t="str">
        <f aca="false">IF(AND(Visite!A288&lt;&gt;"",Visite!E288&lt;&gt;"Completata",Visite!E288&lt;&gt;"Annullata"),Visite!A288,"")</f>
        <v/>
      </c>
      <c r="C585" s="0" t="str">
        <f aca="false">IF(B585="","","Visita"&amp;IF(Visite!D288="",""," · "&amp;Visite!D288)&amp;IF(Visite!B288="","",IF(ISNUMBER(Visite!B288)," · ore "&amp;TEXT(Visite!B288,"hh:mm")," · "&amp;Visite!B288)))</f>
        <v/>
      </c>
      <c r="D585" s="0" t="str">
        <f aca="false">IF(B585="","",Visite!C288)</f>
        <v/>
      </c>
      <c r="E585" s="0" t="str">
        <f aca="false">IF(B585="","","Visita")</f>
        <v/>
      </c>
      <c r="F585" s="0" t="str">
        <f aca="false">""</f>
        <v/>
      </c>
    </row>
    <row r="586" customFormat="false" ht="15" hidden="false" customHeight="false" outlineLevel="0" collapsed="false">
      <c r="A586" s="0" t="str">
        <f aca="true">IF(B586="","",IF(B586&gt;=TODAY(),B586+ROW()/100000,""))</f>
        <v/>
      </c>
      <c r="B586" s="0" t="str">
        <f aca="false">IF(AND(Visite!A289&lt;&gt;"",Visite!E289&lt;&gt;"Completata",Visite!E289&lt;&gt;"Annullata"),Visite!A289,"")</f>
        <v/>
      </c>
      <c r="C586" s="0" t="str">
        <f aca="false">IF(B586="","","Visita"&amp;IF(Visite!D289="",""," · "&amp;Visite!D289)&amp;IF(Visite!B289="","",IF(ISNUMBER(Visite!B289)," · ore "&amp;TEXT(Visite!B289,"hh:mm")," · "&amp;Visite!B289)))</f>
        <v/>
      </c>
      <c r="D586" s="0" t="str">
        <f aca="false">IF(B586="","",Visite!C289)</f>
        <v/>
      </c>
      <c r="E586" s="0" t="str">
        <f aca="false">IF(B586="","","Visita")</f>
        <v/>
      </c>
      <c r="F586" s="0" t="str">
        <f aca="false">""</f>
        <v/>
      </c>
    </row>
    <row r="587" customFormat="false" ht="15" hidden="false" customHeight="false" outlineLevel="0" collapsed="false">
      <c r="A587" s="0" t="str">
        <f aca="true">IF(B587="","",IF(B587&gt;=TODAY(),B587+ROW()/100000,""))</f>
        <v/>
      </c>
      <c r="B587" s="0" t="str">
        <f aca="false">IF(AND(Visite!A290&lt;&gt;"",Visite!E290&lt;&gt;"Completata",Visite!E290&lt;&gt;"Annullata"),Visite!A290,"")</f>
        <v/>
      </c>
      <c r="C587" s="0" t="str">
        <f aca="false">IF(B587="","","Visita"&amp;IF(Visite!D290="",""," · "&amp;Visite!D290)&amp;IF(Visite!B290="","",IF(ISNUMBER(Visite!B290)," · ore "&amp;TEXT(Visite!B290,"hh:mm")," · "&amp;Visite!B290)))</f>
        <v/>
      </c>
      <c r="D587" s="0" t="str">
        <f aca="false">IF(B587="","",Visite!C290)</f>
        <v/>
      </c>
      <c r="E587" s="0" t="str">
        <f aca="false">IF(B587="","","Visita")</f>
        <v/>
      </c>
      <c r="F587" s="0" t="str">
        <f aca="false">""</f>
        <v/>
      </c>
    </row>
    <row r="588" customFormat="false" ht="15" hidden="false" customHeight="false" outlineLevel="0" collapsed="false">
      <c r="A588" s="0" t="str">
        <f aca="true">IF(B588="","",IF(B588&gt;=TODAY(),B588+ROW()/100000,""))</f>
        <v/>
      </c>
      <c r="B588" s="0" t="str">
        <f aca="false">IF(AND(Visite!A291&lt;&gt;"",Visite!E291&lt;&gt;"Completata",Visite!E291&lt;&gt;"Annullata"),Visite!A291,"")</f>
        <v/>
      </c>
      <c r="C588" s="0" t="str">
        <f aca="false">IF(B588="","","Visita"&amp;IF(Visite!D291="",""," · "&amp;Visite!D291)&amp;IF(Visite!B291="","",IF(ISNUMBER(Visite!B291)," · ore "&amp;TEXT(Visite!B291,"hh:mm")," · "&amp;Visite!B291)))</f>
        <v/>
      </c>
      <c r="D588" s="0" t="str">
        <f aca="false">IF(B588="","",Visite!C291)</f>
        <v/>
      </c>
      <c r="E588" s="0" t="str">
        <f aca="false">IF(B588="","","Visita")</f>
        <v/>
      </c>
      <c r="F588" s="0" t="str">
        <f aca="false">""</f>
        <v/>
      </c>
    </row>
    <row r="589" customFormat="false" ht="15" hidden="false" customHeight="false" outlineLevel="0" collapsed="false">
      <c r="A589" s="0" t="str">
        <f aca="true">IF(B589="","",IF(B589&gt;=TODAY(),B589+ROW()/100000,""))</f>
        <v/>
      </c>
      <c r="B589" s="0" t="str">
        <f aca="false">IF(AND(Visite!A292&lt;&gt;"",Visite!E292&lt;&gt;"Completata",Visite!E292&lt;&gt;"Annullata"),Visite!A292,"")</f>
        <v/>
      </c>
      <c r="C589" s="0" t="str">
        <f aca="false">IF(B589="","","Visita"&amp;IF(Visite!D292="",""," · "&amp;Visite!D292)&amp;IF(Visite!B292="","",IF(ISNUMBER(Visite!B292)," · ore "&amp;TEXT(Visite!B292,"hh:mm")," · "&amp;Visite!B292)))</f>
        <v/>
      </c>
      <c r="D589" s="0" t="str">
        <f aca="false">IF(B589="","",Visite!C292)</f>
        <v/>
      </c>
      <c r="E589" s="0" t="str">
        <f aca="false">IF(B589="","","Visita")</f>
        <v/>
      </c>
      <c r="F589" s="0" t="str">
        <f aca="false">""</f>
        <v/>
      </c>
    </row>
    <row r="590" customFormat="false" ht="15" hidden="false" customHeight="false" outlineLevel="0" collapsed="false">
      <c r="A590" s="0" t="str">
        <f aca="true">IF(B590="","",IF(B590&gt;=TODAY(),B590+ROW()/100000,""))</f>
        <v/>
      </c>
      <c r="B590" s="0" t="str">
        <f aca="false">IF(AND(Visite!A293&lt;&gt;"",Visite!E293&lt;&gt;"Completata",Visite!E293&lt;&gt;"Annullata"),Visite!A293,"")</f>
        <v/>
      </c>
      <c r="C590" s="0" t="str">
        <f aca="false">IF(B590="","","Visita"&amp;IF(Visite!D293="",""," · "&amp;Visite!D293)&amp;IF(Visite!B293="","",IF(ISNUMBER(Visite!B293)," · ore "&amp;TEXT(Visite!B293,"hh:mm")," · "&amp;Visite!B293)))</f>
        <v/>
      </c>
      <c r="D590" s="0" t="str">
        <f aca="false">IF(B590="","",Visite!C293)</f>
        <v/>
      </c>
      <c r="E590" s="0" t="str">
        <f aca="false">IF(B590="","","Visita")</f>
        <v/>
      </c>
      <c r="F590" s="0" t="str">
        <f aca="false">""</f>
        <v/>
      </c>
    </row>
    <row r="591" customFormat="false" ht="15" hidden="false" customHeight="false" outlineLevel="0" collapsed="false">
      <c r="A591" s="0" t="str">
        <f aca="true">IF(B591="","",IF(B591&gt;=TODAY(),B591+ROW()/100000,""))</f>
        <v/>
      </c>
      <c r="B591" s="0" t="str">
        <f aca="false">IF(AND(Visite!A294&lt;&gt;"",Visite!E294&lt;&gt;"Completata",Visite!E294&lt;&gt;"Annullata"),Visite!A294,"")</f>
        <v/>
      </c>
      <c r="C591" s="0" t="str">
        <f aca="false">IF(B591="","","Visita"&amp;IF(Visite!D294="",""," · "&amp;Visite!D294)&amp;IF(Visite!B294="","",IF(ISNUMBER(Visite!B294)," · ore "&amp;TEXT(Visite!B294,"hh:mm")," · "&amp;Visite!B294)))</f>
        <v/>
      </c>
      <c r="D591" s="0" t="str">
        <f aca="false">IF(B591="","",Visite!C294)</f>
        <v/>
      </c>
      <c r="E591" s="0" t="str">
        <f aca="false">IF(B591="","","Visita")</f>
        <v/>
      </c>
      <c r="F591" s="0" t="str">
        <f aca="false">""</f>
        <v/>
      </c>
    </row>
    <row r="592" customFormat="false" ht="15" hidden="false" customHeight="false" outlineLevel="0" collapsed="false">
      <c r="A592" s="0" t="str">
        <f aca="true">IF(B592="","",IF(B592&gt;=TODAY(),B592+ROW()/100000,""))</f>
        <v/>
      </c>
      <c r="B592" s="0" t="str">
        <f aca="false">IF(AND(Visite!A295&lt;&gt;"",Visite!E295&lt;&gt;"Completata",Visite!E295&lt;&gt;"Annullata"),Visite!A295,"")</f>
        <v/>
      </c>
      <c r="C592" s="0" t="str">
        <f aca="false">IF(B592="","","Visita"&amp;IF(Visite!D295="",""," · "&amp;Visite!D295)&amp;IF(Visite!B295="","",IF(ISNUMBER(Visite!B295)," · ore "&amp;TEXT(Visite!B295,"hh:mm")," · "&amp;Visite!B295)))</f>
        <v/>
      </c>
      <c r="D592" s="0" t="str">
        <f aca="false">IF(B592="","",Visite!C295)</f>
        <v/>
      </c>
      <c r="E592" s="0" t="str">
        <f aca="false">IF(B592="","","Visita")</f>
        <v/>
      </c>
      <c r="F592" s="0" t="str">
        <f aca="false">""</f>
        <v/>
      </c>
    </row>
    <row r="593" customFormat="false" ht="15" hidden="false" customHeight="false" outlineLevel="0" collapsed="false">
      <c r="A593" s="0" t="str">
        <f aca="true">IF(B593="","",IF(B593&gt;=TODAY(),B593+ROW()/100000,""))</f>
        <v/>
      </c>
      <c r="B593" s="0" t="str">
        <f aca="false">IF(AND(Visite!A296&lt;&gt;"",Visite!E296&lt;&gt;"Completata",Visite!E296&lt;&gt;"Annullata"),Visite!A296,"")</f>
        <v/>
      </c>
      <c r="C593" s="0" t="str">
        <f aca="false">IF(B593="","","Visita"&amp;IF(Visite!D296="",""," · "&amp;Visite!D296)&amp;IF(Visite!B296="","",IF(ISNUMBER(Visite!B296)," · ore "&amp;TEXT(Visite!B296,"hh:mm")," · "&amp;Visite!B296)))</f>
        <v/>
      </c>
      <c r="D593" s="0" t="str">
        <f aca="false">IF(B593="","",Visite!C296)</f>
        <v/>
      </c>
      <c r="E593" s="0" t="str">
        <f aca="false">IF(B593="","","Visita")</f>
        <v/>
      </c>
      <c r="F593" s="0" t="str">
        <f aca="false">""</f>
        <v/>
      </c>
    </row>
    <row r="594" customFormat="false" ht="15" hidden="false" customHeight="false" outlineLevel="0" collapsed="false">
      <c r="A594" s="0" t="str">
        <f aca="true">IF(B594="","",IF(B594&gt;=TODAY(),B594+ROW()/100000,""))</f>
        <v/>
      </c>
      <c r="B594" s="0" t="str">
        <f aca="false">IF(AND(Visite!A297&lt;&gt;"",Visite!E297&lt;&gt;"Completata",Visite!E297&lt;&gt;"Annullata"),Visite!A297,"")</f>
        <v/>
      </c>
      <c r="C594" s="0" t="str">
        <f aca="false">IF(B594="","","Visita"&amp;IF(Visite!D297="",""," · "&amp;Visite!D297)&amp;IF(Visite!B297="","",IF(ISNUMBER(Visite!B297)," · ore "&amp;TEXT(Visite!B297,"hh:mm")," · "&amp;Visite!B297)))</f>
        <v/>
      </c>
      <c r="D594" s="0" t="str">
        <f aca="false">IF(B594="","",Visite!C297)</f>
        <v/>
      </c>
      <c r="E594" s="0" t="str">
        <f aca="false">IF(B594="","","Visita")</f>
        <v/>
      </c>
      <c r="F594" s="0" t="str">
        <f aca="false">""</f>
        <v/>
      </c>
    </row>
    <row r="595" customFormat="false" ht="15" hidden="false" customHeight="false" outlineLevel="0" collapsed="false">
      <c r="A595" s="0" t="str">
        <f aca="true">IF(B595="","",IF(B595&gt;=TODAY(),B595+ROW()/100000,""))</f>
        <v/>
      </c>
      <c r="B595" s="0" t="str">
        <f aca="false">IF(AND(Visite!A298&lt;&gt;"",Visite!E298&lt;&gt;"Completata",Visite!E298&lt;&gt;"Annullata"),Visite!A298,"")</f>
        <v/>
      </c>
      <c r="C595" s="0" t="str">
        <f aca="false">IF(B595="","","Visita"&amp;IF(Visite!D298="",""," · "&amp;Visite!D298)&amp;IF(Visite!B298="","",IF(ISNUMBER(Visite!B298)," · ore "&amp;TEXT(Visite!B298,"hh:mm")," · "&amp;Visite!B298)))</f>
        <v/>
      </c>
      <c r="D595" s="0" t="str">
        <f aca="false">IF(B595="","",Visite!C298)</f>
        <v/>
      </c>
      <c r="E595" s="0" t="str">
        <f aca="false">IF(B595="","","Visita")</f>
        <v/>
      </c>
      <c r="F595" s="0" t="str">
        <f aca="false">""</f>
        <v/>
      </c>
    </row>
    <row r="596" customFormat="false" ht="15" hidden="false" customHeight="false" outlineLevel="0" collapsed="false">
      <c r="A596" s="0" t="str">
        <f aca="true">IF(B596="","",IF(B596&gt;=TODAY(),B596+ROW()/100000,""))</f>
        <v/>
      </c>
      <c r="B596" s="0" t="str">
        <f aca="false">IF(AND(Visite!A299&lt;&gt;"",Visite!E299&lt;&gt;"Completata",Visite!E299&lt;&gt;"Annullata"),Visite!A299,"")</f>
        <v/>
      </c>
      <c r="C596" s="0" t="str">
        <f aca="false">IF(B596="","","Visita"&amp;IF(Visite!D299="",""," · "&amp;Visite!D299)&amp;IF(Visite!B299="","",IF(ISNUMBER(Visite!B299)," · ore "&amp;TEXT(Visite!B299,"hh:mm")," · "&amp;Visite!B299)))</f>
        <v/>
      </c>
      <c r="D596" s="0" t="str">
        <f aca="false">IF(B596="","",Visite!C299)</f>
        <v/>
      </c>
      <c r="E596" s="0" t="str">
        <f aca="false">IF(B596="","","Visita")</f>
        <v/>
      </c>
      <c r="F596" s="0" t="str">
        <f aca="false">""</f>
        <v/>
      </c>
    </row>
    <row r="597" customFormat="false" ht="15" hidden="false" customHeight="false" outlineLevel="0" collapsed="false">
      <c r="A597" s="0" t="str">
        <f aca="true">IF(B597="","",IF(B597&gt;=TODAY(),B597+ROW()/100000,""))</f>
        <v/>
      </c>
      <c r="B597" s="0" t="str">
        <f aca="false">IF(AND(Visite!A300&lt;&gt;"",Visite!E300&lt;&gt;"Completata",Visite!E300&lt;&gt;"Annullata"),Visite!A300,"")</f>
        <v/>
      </c>
      <c r="C597" s="0" t="str">
        <f aca="false">IF(B597="","","Visita"&amp;IF(Visite!D300="",""," · "&amp;Visite!D300)&amp;IF(Visite!B300="","",IF(ISNUMBER(Visite!B300)," · ore "&amp;TEXT(Visite!B300,"hh:mm")," · "&amp;Visite!B300)))</f>
        <v/>
      </c>
      <c r="D597" s="0" t="str">
        <f aca="false">IF(B597="","",Visite!C300)</f>
        <v/>
      </c>
      <c r="E597" s="0" t="str">
        <f aca="false">IF(B597="","","Visita")</f>
        <v/>
      </c>
      <c r="F597" s="0" t="str">
        <f aca="false">""</f>
        <v/>
      </c>
    </row>
    <row r="598" customFormat="false" ht="15" hidden="false" customHeight="false" outlineLevel="0" collapsed="false">
      <c r="A598" s="0" t="str">
        <f aca="true">IF(B598="","",IF(B598&gt;=TODAY(),B598+ROW()/100000,""))</f>
        <v/>
      </c>
      <c r="B598" s="0" t="str">
        <f aca="false">IF(AND(Visite!A301&lt;&gt;"",Visite!E301&lt;&gt;"Completata",Visite!E301&lt;&gt;"Annullata"),Visite!A301,"")</f>
        <v/>
      </c>
      <c r="C598" s="0" t="str">
        <f aca="false">IF(B598="","","Visita"&amp;IF(Visite!D301="",""," · "&amp;Visite!D301)&amp;IF(Visite!B301="","",IF(ISNUMBER(Visite!B301)," · ore "&amp;TEXT(Visite!B301,"hh:mm")," · "&amp;Visite!B301)))</f>
        <v/>
      </c>
      <c r="D598" s="0" t="str">
        <f aca="false">IF(B598="","",Visite!C301)</f>
        <v/>
      </c>
      <c r="E598" s="0" t="str">
        <f aca="false">IF(B598="","","Visita")</f>
        <v/>
      </c>
      <c r="F598" s="0" t="str">
        <f aca="false">""</f>
        <v/>
      </c>
    </row>
    <row r="599" customFormat="false" ht="15" hidden="false" customHeight="false" outlineLevel="0" collapsed="false">
      <c r="A599" s="0" t="str">
        <f aca="true">IF(B599="","",IF(B599&gt;=TODAY(),B599+ROW()/100000,""))</f>
        <v/>
      </c>
      <c r="B599" s="0" t="str">
        <f aca="false">IF(AND(Visite!A302&lt;&gt;"",Visite!E302&lt;&gt;"Completata",Visite!E302&lt;&gt;"Annullata"),Visite!A302,"")</f>
        <v/>
      </c>
      <c r="C599" s="0" t="str">
        <f aca="false">IF(B599="","","Visita"&amp;IF(Visite!D302="",""," · "&amp;Visite!D302)&amp;IF(Visite!B302="","",IF(ISNUMBER(Visite!B302)," · ore "&amp;TEXT(Visite!B302,"hh:mm")," · "&amp;Visite!B302)))</f>
        <v/>
      </c>
      <c r="D599" s="0" t="str">
        <f aca="false">IF(B599="","",Visite!C302)</f>
        <v/>
      </c>
      <c r="E599" s="0" t="str">
        <f aca="false">IF(B599="","","Visita")</f>
        <v/>
      </c>
      <c r="F599" s="0" t="str">
        <f aca="false">""</f>
        <v/>
      </c>
    </row>
    <row r="600" customFormat="false" ht="15" hidden="false" customHeight="false" outlineLevel="0" collapsed="false">
      <c r="A600" s="0" t="str">
        <f aca="true">IF(B600="","",IF(B600&gt;=TODAY(),B600+ROW()/100000,""))</f>
        <v/>
      </c>
      <c r="B600" s="0" t="str">
        <f aca="false">IF(AND(Visite!A303&lt;&gt;"",Visite!E303&lt;&gt;"Completata",Visite!E303&lt;&gt;"Annullata"),Visite!A303,"")</f>
        <v/>
      </c>
      <c r="C600" s="0" t="str">
        <f aca="false">IF(B600="","","Visita"&amp;IF(Visite!D303="",""," · "&amp;Visite!D303)&amp;IF(Visite!B303="","",IF(ISNUMBER(Visite!B303)," · ore "&amp;TEXT(Visite!B303,"hh:mm")," · "&amp;Visite!B303)))</f>
        <v/>
      </c>
      <c r="D600" s="0" t="str">
        <f aca="false">IF(B600="","",Visite!C303)</f>
        <v/>
      </c>
      <c r="E600" s="0" t="str">
        <f aca="false">IF(B600="","","Visita")</f>
        <v/>
      </c>
      <c r="F600" s="0" t="str">
        <f aca="false">""</f>
        <v/>
      </c>
    </row>
    <row r="601" customFormat="false" ht="15" hidden="false" customHeight="false" outlineLevel="0" collapsed="false">
      <c r="A601" s="0" t="str">
        <f aca="true">IF(B601="","",IF(B601&gt;=TODAY(),B601+ROW()/100000,""))</f>
        <v/>
      </c>
      <c r="B601" s="0" t="str">
        <f aca="false">IF(AND(Visite!A304&lt;&gt;"",Visite!E304&lt;&gt;"Completata",Visite!E304&lt;&gt;"Annullata"),Visite!A304,"")</f>
        <v/>
      </c>
      <c r="C601" s="0" t="str">
        <f aca="false">IF(B601="","","Visita"&amp;IF(Visite!D304="",""," · "&amp;Visite!D304)&amp;IF(Visite!B304="","",IF(ISNUMBER(Visite!B304)," · ore "&amp;TEXT(Visite!B304,"hh:mm")," · "&amp;Visite!B304)))</f>
        <v/>
      </c>
      <c r="D601" s="0" t="str">
        <f aca="false">IF(B601="","",Visite!C304)</f>
        <v/>
      </c>
      <c r="E601" s="0" t="str">
        <f aca="false">IF(B601="","","Visita")</f>
        <v/>
      </c>
      <c r="F601" s="0" t="str">
        <f aca="false">""</f>
        <v/>
      </c>
    </row>
    <row r="602" customFormat="false" ht="15" hidden="false" customHeight="false" outlineLevel="0" collapsed="false">
      <c r="A602" s="0" t="str">
        <f aca="true">IF(B602="","",IF(B602&gt;=TODAY(),B602+ROW()/100000,""))</f>
        <v/>
      </c>
      <c r="B602" s="0" t="str">
        <f aca="false">IF(Documenti!C5="","",IF(Documenti!D5&lt;=90,Documenti!C5,""))</f>
        <v/>
      </c>
      <c r="C602" s="0" t="str">
        <f aca="false">IF(B602="","","Rinnovo · "&amp;Documenti!A5)</f>
        <v/>
      </c>
      <c r="D602" s="0" t="str">
        <f aca="false">IF(B602="","",Documenti!B5)</f>
        <v/>
      </c>
      <c r="E602" s="0" t="str">
        <f aca="false">IF(B602="","","Documento")</f>
        <v/>
      </c>
      <c r="F602" s="0" t="str">
        <f aca="true">IF(B602="","",IF(B602&lt;TODAY(),B602+ROW()/100000,""))</f>
        <v/>
      </c>
    </row>
    <row r="603" customFormat="false" ht="15" hidden="false" customHeight="false" outlineLevel="0" collapsed="false">
      <c r="A603" s="48" t="n">
        <f aca="true">IF(B603="","",IF(B603&gt;=TODAY(),B603+ROW()/100000,""))</f>
        <v>46353.00603</v>
      </c>
      <c r="B603" s="49" t="n">
        <f aca="false">IF(Documenti!C6="","",IF(Documenti!D6&lt;=90,Documenti!C6,""))</f>
        <v>46353</v>
      </c>
      <c r="C603" s="0" t="str">
        <f aca="false">IF(B603="","","Rinnovo · "&amp;Documenti!A6)</f>
        <v>Rinnovo · Carta d'identità</v>
      </c>
      <c r="D603" s="0" t="str">
        <f aca="false">IF(B603="","",Documenti!B6)</f>
        <v>Luca</v>
      </c>
      <c r="E603" s="0" t="str">
        <f aca="false">IF(B603="","","Documento")</f>
        <v>Documento</v>
      </c>
      <c r="F603" s="0" t="str">
        <f aca="true">IF(B603="","",IF(B603&lt;TODAY(),B603+ROW()/100000,""))</f>
        <v/>
      </c>
    </row>
    <row r="604" customFormat="false" ht="15" hidden="false" customHeight="false" outlineLevel="0" collapsed="false">
      <c r="A604" s="0" t="str">
        <f aca="true">IF(B604="","",IF(B604&gt;=TODAY(),B604+ROW()/100000,""))</f>
        <v/>
      </c>
      <c r="B604" s="0" t="str">
        <f aca="false">IF(Documenti!C7="","",IF(Documenti!D7&lt;=90,Documenti!C7,""))</f>
        <v/>
      </c>
      <c r="C604" s="0" t="str">
        <f aca="false">IF(B604="","","Rinnovo · "&amp;Documenti!A7)</f>
        <v/>
      </c>
      <c r="D604" s="0" t="str">
        <f aca="false">IF(B604="","",Documenti!B7)</f>
        <v/>
      </c>
      <c r="E604" s="0" t="str">
        <f aca="false">IF(B604="","","Documento")</f>
        <v/>
      </c>
      <c r="F604" s="0" t="str">
        <f aca="true">IF(B604="","",IF(B604&lt;TODAY(),B604+ROW()/100000,""))</f>
        <v/>
      </c>
    </row>
    <row r="605" customFormat="false" ht="15" hidden="false" customHeight="false" outlineLevel="0" collapsed="false">
      <c r="A605" s="0" t="str">
        <f aca="true">IF(B605="","",IF(B605&gt;=TODAY(),B605+ROW()/100000,""))</f>
        <v/>
      </c>
      <c r="B605" s="0" t="str">
        <f aca="false">IF(Documenti!C8="","",IF(Documenti!D8&lt;=90,Documenti!C8,""))</f>
        <v/>
      </c>
      <c r="C605" s="0" t="str">
        <f aca="false">IF(B605="","","Rinnovo · "&amp;Documenti!A8)</f>
        <v/>
      </c>
      <c r="D605" s="0" t="str">
        <f aca="false">IF(B605="","",Documenti!B8)</f>
        <v/>
      </c>
      <c r="E605" s="0" t="str">
        <f aca="false">IF(B605="","","Documento")</f>
        <v/>
      </c>
      <c r="F605" s="0" t="str">
        <f aca="true">IF(B605="","",IF(B605&lt;TODAY(),B605+ROW()/100000,""))</f>
        <v/>
      </c>
    </row>
    <row r="606" customFormat="false" ht="15" hidden="false" customHeight="false" outlineLevel="0" collapsed="false">
      <c r="A606" s="0" t="str">
        <f aca="true">IF(B606="","",IF(B606&gt;=TODAY(),B606+ROW()/100000,""))</f>
        <v/>
      </c>
      <c r="B606" s="0" t="str">
        <f aca="false">IF(Documenti!C9="","",IF(Documenti!D9&lt;=90,Documenti!C9,""))</f>
        <v/>
      </c>
      <c r="C606" s="0" t="str">
        <f aca="false">IF(B606="","","Rinnovo · "&amp;Documenti!A9)</f>
        <v/>
      </c>
      <c r="D606" s="0" t="str">
        <f aca="false">IF(B606="","",Documenti!B9)</f>
        <v/>
      </c>
      <c r="E606" s="0" t="str">
        <f aca="false">IF(B606="","","Documento")</f>
        <v/>
      </c>
      <c r="F606" s="0" t="str">
        <f aca="true">IF(B606="","",IF(B606&lt;TODAY(),B606+ROW()/100000,""))</f>
        <v/>
      </c>
    </row>
    <row r="607" customFormat="false" ht="15" hidden="false" customHeight="false" outlineLevel="0" collapsed="false">
      <c r="A607" s="0" t="str">
        <f aca="true">IF(B607="","",IF(B607&gt;=TODAY(),B607+ROW()/100000,""))</f>
        <v/>
      </c>
      <c r="B607" s="0" t="str">
        <f aca="false">IF(Documenti!C10="","",IF(Documenti!D10&lt;=90,Documenti!C10,""))</f>
        <v/>
      </c>
      <c r="C607" s="0" t="str">
        <f aca="false">IF(B607="","","Rinnovo · "&amp;Documenti!A10)</f>
        <v/>
      </c>
      <c r="D607" s="0" t="str">
        <f aca="false">IF(B607="","",Documenti!B10)</f>
        <v/>
      </c>
      <c r="E607" s="0" t="str">
        <f aca="false">IF(B607="","","Documento")</f>
        <v/>
      </c>
      <c r="F607" s="0" t="str">
        <f aca="true">IF(B607="","",IF(B607&lt;TODAY(),B607+ROW()/100000,""))</f>
        <v/>
      </c>
    </row>
    <row r="608" customFormat="false" ht="15" hidden="false" customHeight="false" outlineLevel="0" collapsed="false">
      <c r="A608" s="0" t="str">
        <f aca="true">IF(B608="","",IF(B608&gt;=TODAY(),B608+ROW()/100000,""))</f>
        <v/>
      </c>
      <c r="B608" s="0" t="str">
        <f aca="false">IF(Documenti!C11="","",IF(Documenti!D11&lt;=90,Documenti!C11,""))</f>
        <v/>
      </c>
      <c r="C608" s="0" t="str">
        <f aca="false">IF(B608="","","Rinnovo · "&amp;Documenti!A11)</f>
        <v/>
      </c>
      <c r="D608" s="0" t="str">
        <f aca="false">IF(B608="","",Documenti!B11)</f>
        <v/>
      </c>
      <c r="E608" s="0" t="str">
        <f aca="false">IF(B608="","","Documento")</f>
        <v/>
      </c>
      <c r="F608" s="0" t="str">
        <f aca="true">IF(B608="","",IF(B608&lt;TODAY(),B608+ROW()/100000,""))</f>
        <v/>
      </c>
    </row>
    <row r="609" customFormat="false" ht="15" hidden="false" customHeight="false" outlineLevel="0" collapsed="false">
      <c r="A609" s="0" t="str">
        <f aca="true">IF(B609="","",IF(B609&gt;=TODAY(),B609+ROW()/100000,""))</f>
        <v/>
      </c>
      <c r="B609" s="0" t="str">
        <f aca="false">IF(Documenti!C12="","",IF(Documenti!D12&lt;=90,Documenti!C12,""))</f>
        <v/>
      </c>
      <c r="C609" s="0" t="str">
        <f aca="false">IF(B609="","","Rinnovo · "&amp;Documenti!A12)</f>
        <v/>
      </c>
      <c r="D609" s="0" t="str">
        <f aca="false">IF(B609="","",Documenti!B12)</f>
        <v/>
      </c>
      <c r="E609" s="0" t="str">
        <f aca="false">IF(B609="","","Documento")</f>
        <v/>
      </c>
      <c r="F609" s="0" t="str">
        <f aca="true">IF(B609="","",IF(B609&lt;TODAY(),B609+ROW()/100000,""))</f>
        <v/>
      </c>
    </row>
    <row r="610" customFormat="false" ht="15" hidden="false" customHeight="false" outlineLevel="0" collapsed="false">
      <c r="A610" s="0" t="str">
        <f aca="true">IF(B610="","",IF(B610&gt;=TODAY(),B610+ROW()/100000,""))</f>
        <v/>
      </c>
      <c r="B610" s="0" t="str">
        <f aca="false">IF(Documenti!C13="","",IF(Documenti!D13&lt;=90,Documenti!C13,""))</f>
        <v/>
      </c>
      <c r="C610" s="0" t="str">
        <f aca="false">IF(B610="","","Rinnovo · "&amp;Documenti!A13)</f>
        <v/>
      </c>
      <c r="D610" s="0" t="str">
        <f aca="false">IF(B610="","",Documenti!B13)</f>
        <v/>
      </c>
      <c r="E610" s="0" t="str">
        <f aca="false">IF(B610="","","Documento")</f>
        <v/>
      </c>
      <c r="F610" s="0" t="str">
        <f aca="true">IF(B610="","",IF(B610&lt;TODAY(),B610+ROW()/100000,""))</f>
        <v/>
      </c>
    </row>
    <row r="611" customFormat="false" ht="15" hidden="false" customHeight="false" outlineLevel="0" collapsed="false">
      <c r="A611" s="0" t="str">
        <f aca="true">IF(B611="","",IF(B611&gt;=TODAY(),B611+ROW()/100000,""))</f>
        <v/>
      </c>
      <c r="B611" s="0" t="str">
        <f aca="false">IF(Documenti!C14="","",IF(Documenti!D14&lt;=90,Documenti!C14,""))</f>
        <v/>
      </c>
      <c r="C611" s="0" t="str">
        <f aca="false">IF(B611="","","Rinnovo · "&amp;Documenti!A14)</f>
        <v/>
      </c>
      <c r="D611" s="0" t="str">
        <f aca="false">IF(B611="","",Documenti!B14)</f>
        <v/>
      </c>
      <c r="E611" s="0" t="str">
        <f aca="false">IF(B611="","","Documento")</f>
        <v/>
      </c>
      <c r="F611" s="0" t="str">
        <f aca="true">IF(B611="","",IF(B611&lt;TODAY(),B611+ROW()/100000,""))</f>
        <v/>
      </c>
    </row>
    <row r="612" customFormat="false" ht="15" hidden="false" customHeight="false" outlineLevel="0" collapsed="false">
      <c r="A612" s="0" t="str">
        <f aca="true">IF(B612="","",IF(B612&gt;=TODAY(),B612+ROW()/100000,""))</f>
        <v/>
      </c>
      <c r="B612" s="0" t="str">
        <f aca="false">IF(Documenti!C15="","",IF(Documenti!D15&lt;=90,Documenti!C15,""))</f>
        <v/>
      </c>
      <c r="C612" s="0" t="str">
        <f aca="false">IF(B612="","","Rinnovo · "&amp;Documenti!A15)</f>
        <v/>
      </c>
      <c r="D612" s="0" t="str">
        <f aca="false">IF(B612="","",Documenti!B15)</f>
        <v/>
      </c>
      <c r="E612" s="0" t="str">
        <f aca="false">IF(B612="","","Documento")</f>
        <v/>
      </c>
      <c r="F612" s="0" t="str">
        <f aca="true">IF(B612="","",IF(B612&lt;TODAY(),B612+ROW()/100000,""))</f>
        <v/>
      </c>
    </row>
    <row r="613" customFormat="false" ht="15" hidden="false" customHeight="false" outlineLevel="0" collapsed="false">
      <c r="A613" s="0" t="str">
        <f aca="true">IF(B613="","",IF(B613&gt;=TODAY(),B613+ROW()/100000,""))</f>
        <v/>
      </c>
      <c r="B613" s="0" t="str">
        <f aca="false">IF(Documenti!C16="","",IF(Documenti!D16&lt;=90,Documenti!C16,""))</f>
        <v/>
      </c>
      <c r="C613" s="0" t="str">
        <f aca="false">IF(B613="","","Rinnovo · "&amp;Documenti!A16)</f>
        <v/>
      </c>
      <c r="D613" s="0" t="str">
        <f aca="false">IF(B613="","",Documenti!B16)</f>
        <v/>
      </c>
      <c r="E613" s="0" t="str">
        <f aca="false">IF(B613="","","Documento")</f>
        <v/>
      </c>
      <c r="F613" s="0" t="str">
        <f aca="true">IF(B613="","",IF(B613&lt;TODAY(),B613+ROW()/100000,""))</f>
        <v/>
      </c>
    </row>
    <row r="614" customFormat="false" ht="15" hidden="false" customHeight="false" outlineLevel="0" collapsed="false">
      <c r="A614" s="0" t="str">
        <f aca="true">IF(B614="","",IF(B614&gt;=TODAY(),B614+ROW()/100000,""))</f>
        <v/>
      </c>
      <c r="B614" s="0" t="str">
        <f aca="false">IF(Documenti!C17="","",IF(Documenti!D17&lt;=90,Documenti!C17,""))</f>
        <v/>
      </c>
      <c r="C614" s="0" t="str">
        <f aca="false">IF(B614="","","Rinnovo · "&amp;Documenti!A17)</f>
        <v/>
      </c>
      <c r="D614" s="0" t="str">
        <f aca="false">IF(B614="","",Documenti!B17)</f>
        <v/>
      </c>
      <c r="E614" s="0" t="str">
        <f aca="false">IF(B614="","","Documento")</f>
        <v/>
      </c>
      <c r="F614" s="0" t="str">
        <f aca="true">IF(B614="","",IF(B614&lt;TODAY(),B614+ROW()/100000,""))</f>
        <v/>
      </c>
    </row>
    <row r="615" customFormat="false" ht="15" hidden="false" customHeight="false" outlineLevel="0" collapsed="false">
      <c r="A615" s="0" t="str">
        <f aca="true">IF(B615="","",IF(B615&gt;=TODAY(),B615+ROW()/100000,""))</f>
        <v/>
      </c>
      <c r="B615" s="0" t="str">
        <f aca="false">IF(Documenti!C18="","",IF(Documenti!D18&lt;=90,Documenti!C18,""))</f>
        <v/>
      </c>
      <c r="C615" s="0" t="str">
        <f aca="false">IF(B615="","","Rinnovo · "&amp;Documenti!A18)</f>
        <v/>
      </c>
      <c r="D615" s="0" t="str">
        <f aca="false">IF(B615="","",Documenti!B18)</f>
        <v/>
      </c>
      <c r="E615" s="0" t="str">
        <f aca="false">IF(B615="","","Documento")</f>
        <v/>
      </c>
      <c r="F615" s="0" t="str">
        <f aca="true">IF(B615="","",IF(B615&lt;TODAY(),B615+ROW()/100000,""))</f>
        <v/>
      </c>
    </row>
    <row r="616" customFormat="false" ht="15" hidden="false" customHeight="false" outlineLevel="0" collapsed="false">
      <c r="A616" s="0" t="str">
        <f aca="true">IF(B616="","",IF(B616&gt;=TODAY(),B616+ROW()/100000,""))</f>
        <v/>
      </c>
      <c r="B616" s="0" t="str">
        <f aca="false">IF(Documenti!C19="","",IF(Documenti!D19&lt;=90,Documenti!C19,""))</f>
        <v/>
      </c>
      <c r="C616" s="0" t="str">
        <f aca="false">IF(B616="","","Rinnovo · "&amp;Documenti!A19)</f>
        <v/>
      </c>
      <c r="D616" s="0" t="str">
        <f aca="false">IF(B616="","",Documenti!B19)</f>
        <v/>
      </c>
      <c r="E616" s="0" t="str">
        <f aca="false">IF(B616="","","Documento")</f>
        <v/>
      </c>
      <c r="F616" s="0" t="str">
        <f aca="true">IF(B616="","",IF(B616&lt;TODAY(),B616+ROW()/100000,""))</f>
        <v/>
      </c>
    </row>
    <row r="617" customFormat="false" ht="15" hidden="false" customHeight="false" outlineLevel="0" collapsed="false">
      <c r="A617" s="0" t="str">
        <f aca="true">IF(B617="","",IF(B617&gt;=TODAY(),B617+ROW()/100000,""))</f>
        <v/>
      </c>
      <c r="B617" s="0" t="str">
        <f aca="false">IF(Documenti!C20="","",IF(Documenti!D20&lt;=90,Documenti!C20,""))</f>
        <v/>
      </c>
      <c r="C617" s="0" t="str">
        <f aca="false">IF(B617="","","Rinnovo · "&amp;Documenti!A20)</f>
        <v/>
      </c>
      <c r="D617" s="0" t="str">
        <f aca="false">IF(B617="","",Documenti!B20)</f>
        <v/>
      </c>
      <c r="E617" s="0" t="str">
        <f aca="false">IF(B617="","","Documento")</f>
        <v/>
      </c>
      <c r="F617" s="0" t="str">
        <f aca="true">IF(B617="","",IF(B617&lt;TODAY(),B617+ROW()/100000,""))</f>
        <v/>
      </c>
    </row>
    <row r="618" customFormat="false" ht="15" hidden="false" customHeight="false" outlineLevel="0" collapsed="false">
      <c r="A618" s="0" t="str">
        <f aca="true">IF(B618="","",IF(B618&gt;=TODAY(),B618+ROW()/100000,""))</f>
        <v/>
      </c>
      <c r="B618" s="0" t="str">
        <f aca="false">IF(Documenti!C21="","",IF(Documenti!D21&lt;=90,Documenti!C21,""))</f>
        <v/>
      </c>
      <c r="C618" s="0" t="str">
        <f aca="false">IF(B618="","","Rinnovo · "&amp;Documenti!A21)</f>
        <v/>
      </c>
      <c r="D618" s="0" t="str">
        <f aca="false">IF(B618="","",Documenti!B21)</f>
        <v/>
      </c>
      <c r="E618" s="0" t="str">
        <f aca="false">IF(B618="","","Documento")</f>
        <v/>
      </c>
      <c r="F618" s="0" t="str">
        <f aca="true">IF(B618="","",IF(B618&lt;TODAY(),B618+ROW()/100000,""))</f>
        <v/>
      </c>
    </row>
    <row r="619" customFormat="false" ht="15" hidden="false" customHeight="false" outlineLevel="0" collapsed="false">
      <c r="A619" s="0" t="str">
        <f aca="true">IF(B619="","",IF(B619&gt;=TODAY(),B619+ROW()/100000,""))</f>
        <v/>
      </c>
      <c r="B619" s="0" t="str">
        <f aca="false">IF(Documenti!C22="","",IF(Documenti!D22&lt;=90,Documenti!C22,""))</f>
        <v/>
      </c>
      <c r="C619" s="0" t="str">
        <f aca="false">IF(B619="","","Rinnovo · "&amp;Documenti!A22)</f>
        <v/>
      </c>
      <c r="D619" s="0" t="str">
        <f aca="false">IF(B619="","",Documenti!B22)</f>
        <v/>
      </c>
      <c r="E619" s="0" t="str">
        <f aca="false">IF(B619="","","Documento")</f>
        <v/>
      </c>
      <c r="F619" s="0" t="str">
        <f aca="true">IF(B619="","",IF(B619&lt;TODAY(),B619+ROW()/100000,""))</f>
        <v/>
      </c>
    </row>
    <row r="620" customFormat="false" ht="15" hidden="false" customHeight="false" outlineLevel="0" collapsed="false">
      <c r="A620" s="0" t="str">
        <f aca="true">IF(B620="","",IF(B620&gt;=TODAY(),B620+ROW()/100000,""))</f>
        <v/>
      </c>
      <c r="B620" s="0" t="str">
        <f aca="false">IF(Documenti!C23="","",IF(Documenti!D23&lt;=90,Documenti!C23,""))</f>
        <v/>
      </c>
      <c r="C620" s="0" t="str">
        <f aca="false">IF(B620="","","Rinnovo · "&amp;Documenti!A23)</f>
        <v/>
      </c>
      <c r="D620" s="0" t="str">
        <f aca="false">IF(B620="","",Documenti!B23)</f>
        <v/>
      </c>
      <c r="E620" s="0" t="str">
        <f aca="false">IF(B620="","","Documento")</f>
        <v/>
      </c>
      <c r="F620" s="0" t="str">
        <f aca="true">IF(B620="","",IF(B620&lt;TODAY(),B620+ROW()/100000,""))</f>
        <v/>
      </c>
    </row>
    <row r="621" customFormat="false" ht="15" hidden="false" customHeight="false" outlineLevel="0" collapsed="false">
      <c r="A621" s="0" t="str">
        <f aca="true">IF(B621="","",IF(B621&gt;=TODAY(),B621+ROW()/100000,""))</f>
        <v/>
      </c>
      <c r="B621" s="0" t="str">
        <f aca="false">IF(Documenti!C24="","",IF(Documenti!D24&lt;=90,Documenti!C24,""))</f>
        <v/>
      </c>
      <c r="C621" s="0" t="str">
        <f aca="false">IF(B621="","","Rinnovo · "&amp;Documenti!A24)</f>
        <v/>
      </c>
      <c r="D621" s="0" t="str">
        <f aca="false">IF(B621="","",Documenti!B24)</f>
        <v/>
      </c>
      <c r="E621" s="0" t="str">
        <f aca="false">IF(B621="","","Documento")</f>
        <v/>
      </c>
      <c r="F621" s="0" t="str">
        <f aca="true">IF(B621="","",IF(B621&lt;TODAY(),B621+ROW()/100000,""))</f>
        <v/>
      </c>
    </row>
    <row r="622" customFormat="false" ht="15" hidden="false" customHeight="false" outlineLevel="0" collapsed="false">
      <c r="A622" s="0" t="str">
        <f aca="true">IF(B622="","",IF(B622&gt;=TODAY(),B622+ROW()/100000,""))</f>
        <v/>
      </c>
      <c r="B622" s="0" t="str">
        <f aca="false">IF(Documenti!C25="","",IF(Documenti!D25&lt;=90,Documenti!C25,""))</f>
        <v/>
      </c>
      <c r="C622" s="0" t="str">
        <f aca="false">IF(B622="","","Rinnovo · "&amp;Documenti!A25)</f>
        <v/>
      </c>
      <c r="D622" s="0" t="str">
        <f aca="false">IF(B622="","",Documenti!B25)</f>
        <v/>
      </c>
      <c r="E622" s="0" t="str">
        <f aca="false">IF(B622="","","Documento")</f>
        <v/>
      </c>
      <c r="F622" s="0" t="str">
        <f aca="true">IF(B622="","",IF(B622&lt;TODAY(),B622+ROW()/100000,""))</f>
        <v/>
      </c>
    </row>
    <row r="623" customFormat="false" ht="15" hidden="false" customHeight="false" outlineLevel="0" collapsed="false">
      <c r="A623" s="0" t="str">
        <f aca="true">IF(B623="","",IF(B623&gt;=TODAY(),B623+ROW()/100000,""))</f>
        <v/>
      </c>
      <c r="B623" s="0" t="str">
        <f aca="false">IF(Documenti!C26="","",IF(Documenti!D26&lt;=90,Documenti!C26,""))</f>
        <v/>
      </c>
      <c r="C623" s="0" t="str">
        <f aca="false">IF(B623="","","Rinnovo · "&amp;Documenti!A26)</f>
        <v/>
      </c>
      <c r="D623" s="0" t="str">
        <f aca="false">IF(B623="","",Documenti!B26)</f>
        <v/>
      </c>
      <c r="E623" s="0" t="str">
        <f aca="false">IF(B623="","","Documento")</f>
        <v/>
      </c>
      <c r="F623" s="0" t="str">
        <f aca="true">IF(B623="","",IF(B623&lt;TODAY(),B623+ROW()/100000,""))</f>
        <v/>
      </c>
    </row>
    <row r="624" customFormat="false" ht="15" hidden="false" customHeight="false" outlineLevel="0" collapsed="false">
      <c r="A624" s="0" t="str">
        <f aca="true">IF(B624="","",IF(B624&gt;=TODAY(),B624+ROW()/100000,""))</f>
        <v/>
      </c>
      <c r="B624" s="0" t="str">
        <f aca="false">IF(Documenti!C27="","",IF(Documenti!D27&lt;=90,Documenti!C27,""))</f>
        <v/>
      </c>
      <c r="C624" s="0" t="str">
        <f aca="false">IF(B624="","","Rinnovo · "&amp;Documenti!A27)</f>
        <v/>
      </c>
      <c r="D624" s="0" t="str">
        <f aca="false">IF(B624="","",Documenti!B27)</f>
        <v/>
      </c>
      <c r="E624" s="0" t="str">
        <f aca="false">IF(B624="","","Documento")</f>
        <v/>
      </c>
      <c r="F624" s="0" t="str">
        <f aca="true">IF(B624="","",IF(B624&lt;TODAY(),B624+ROW()/100000,""))</f>
        <v/>
      </c>
    </row>
    <row r="625" customFormat="false" ht="15" hidden="false" customHeight="false" outlineLevel="0" collapsed="false">
      <c r="A625" s="0" t="str">
        <f aca="true">IF(B625="","",IF(B625&gt;=TODAY(),B625+ROW()/100000,""))</f>
        <v/>
      </c>
      <c r="B625" s="0" t="str">
        <f aca="false">IF(Documenti!C28="","",IF(Documenti!D28&lt;=90,Documenti!C28,""))</f>
        <v/>
      </c>
      <c r="C625" s="0" t="str">
        <f aca="false">IF(B625="","","Rinnovo · "&amp;Documenti!A28)</f>
        <v/>
      </c>
      <c r="D625" s="0" t="str">
        <f aca="false">IF(B625="","",Documenti!B28)</f>
        <v/>
      </c>
      <c r="E625" s="0" t="str">
        <f aca="false">IF(B625="","","Documento")</f>
        <v/>
      </c>
      <c r="F625" s="0" t="str">
        <f aca="true">IF(B625="","",IF(B625&lt;TODAY(),B625+ROW()/100000,""))</f>
        <v/>
      </c>
    </row>
    <row r="626" customFormat="false" ht="15" hidden="false" customHeight="false" outlineLevel="0" collapsed="false">
      <c r="A626" s="0" t="str">
        <f aca="true">IF(B626="","",IF(B626&gt;=TODAY(),B626+ROW()/100000,""))</f>
        <v/>
      </c>
      <c r="B626" s="0" t="str">
        <f aca="false">IF(Documenti!C29="","",IF(Documenti!D29&lt;=90,Documenti!C29,""))</f>
        <v/>
      </c>
      <c r="C626" s="0" t="str">
        <f aca="false">IF(B626="","","Rinnovo · "&amp;Documenti!A29)</f>
        <v/>
      </c>
      <c r="D626" s="0" t="str">
        <f aca="false">IF(B626="","",Documenti!B29)</f>
        <v/>
      </c>
      <c r="E626" s="0" t="str">
        <f aca="false">IF(B626="","","Documento")</f>
        <v/>
      </c>
      <c r="F626" s="0" t="str">
        <f aca="true">IF(B626="","",IF(B626&lt;TODAY(),B626+ROW()/100000,""))</f>
        <v/>
      </c>
    </row>
    <row r="627" customFormat="false" ht="15" hidden="false" customHeight="false" outlineLevel="0" collapsed="false">
      <c r="A627" s="0" t="str">
        <f aca="true">IF(B627="","",IF(B627&gt;=TODAY(),B627+ROW()/100000,""))</f>
        <v/>
      </c>
      <c r="B627" s="0" t="str">
        <f aca="false">IF(Documenti!C30="","",IF(Documenti!D30&lt;=90,Documenti!C30,""))</f>
        <v/>
      </c>
      <c r="C627" s="0" t="str">
        <f aca="false">IF(B627="","","Rinnovo · "&amp;Documenti!A30)</f>
        <v/>
      </c>
      <c r="D627" s="0" t="str">
        <f aca="false">IF(B627="","",Documenti!B30)</f>
        <v/>
      </c>
      <c r="E627" s="0" t="str">
        <f aca="false">IF(B627="","","Documento")</f>
        <v/>
      </c>
      <c r="F627" s="0" t="str">
        <f aca="true">IF(B627="","",IF(B627&lt;TODAY(),B627+ROW()/100000,""))</f>
        <v/>
      </c>
    </row>
    <row r="628" customFormat="false" ht="15" hidden="false" customHeight="false" outlineLevel="0" collapsed="false">
      <c r="A628" s="0" t="str">
        <f aca="true">IF(B628="","",IF(B628&gt;=TODAY(),B628+ROW()/100000,""))</f>
        <v/>
      </c>
      <c r="B628" s="0" t="str">
        <f aca="false">IF(Documenti!C31="","",IF(Documenti!D31&lt;=90,Documenti!C31,""))</f>
        <v/>
      </c>
      <c r="C628" s="0" t="str">
        <f aca="false">IF(B628="","","Rinnovo · "&amp;Documenti!A31)</f>
        <v/>
      </c>
      <c r="D628" s="0" t="str">
        <f aca="false">IF(B628="","",Documenti!B31)</f>
        <v/>
      </c>
      <c r="E628" s="0" t="str">
        <f aca="false">IF(B628="","","Documento")</f>
        <v/>
      </c>
      <c r="F628" s="0" t="str">
        <f aca="true">IF(B628="","",IF(B628&lt;TODAY(),B628+ROW()/100000,""))</f>
        <v/>
      </c>
    </row>
    <row r="629" customFormat="false" ht="15" hidden="false" customHeight="false" outlineLevel="0" collapsed="false">
      <c r="A629" s="0" t="str">
        <f aca="true">IF(B629="","",IF(B629&gt;=TODAY(),B629+ROW()/100000,""))</f>
        <v/>
      </c>
      <c r="B629" s="0" t="str">
        <f aca="false">IF(Documenti!C32="","",IF(Documenti!D32&lt;=90,Documenti!C32,""))</f>
        <v/>
      </c>
      <c r="C629" s="0" t="str">
        <f aca="false">IF(B629="","","Rinnovo · "&amp;Documenti!A32)</f>
        <v/>
      </c>
      <c r="D629" s="0" t="str">
        <f aca="false">IF(B629="","",Documenti!B32)</f>
        <v/>
      </c>
      <c r="E629" s="0" t="str">
        <f aca="false">IF(B629="","","Documento")</f>
        <v/>
      </c>
      <c r="F629" s="0" t="str">
        <f aca="true">IF(B629="","",IF(B629&lt;TODAY(),B629+ROW()/100000,""))</f>
        <v/>
      </c>
    </row>
    <row r="630" customFormat="false" ht="15" hidden="false" customHeight="false" outlineLevel="0" collapsed="false">
      <c r="A630" s="0" t="str">
        <f aca="true">IF(B630="","",IF(B630&gt;=TODAY(),B630+ROW()/100000,""))</f>
        <v/>
      </c>
      <c r="B630" s="0" t="str">
        <f aca="false">IF(Documenti!C33="","",IF(Documenti!D33&lt;=90,Documenti!C33,""))</f>
        <v/>
      </c>
      <c r="C630" s="0" t="str">
        <f aca="false">IF(B630="","","Rinnovo · "&amp;Documenti!A33)</f>
        <v/>
      </c>
      <c r="D630" s="0" t="str">
        <f aca="false">IF(B630="","",Documenti!B33)</f>
        <v/>
      </c>
      <c r="E630" s="0" t="str">
        <f aca="false">IF(B630="","","Documento")</f>
        <v/>
      </c>
      <c r="F630" s="0" t="str">
        <f aca="true">IF(B630="","",IF(B630&lt;TODAY(),B630+ROW()/100000,""))</f>
        <v/>
      </c>
    </row>
    <row r="631" customFormat="false" ht="15" hidden="false" customHeight="false" outlineLevel="0" collapsed="false">
      <c r="A631" s="0" t="str">
        <f aca="true">IF(B631="","",IF(B631&gt;=TODAY(),B631+ROW()/100000,""))</f>
        <v/>
      </c>
      <c r="B631" s="0" t="str">
        <f aca="false">IF(Documenti!C34="","",IF(Documenti!D34&lt;=90,Documenti!C34,""))</f>
        <v/>
      </c>
      <c r="C631" s="0" t="str">
        <f aca="false">IF(B631="","","Rinnovo · "&amp;Documenti!A34)</f>
        <v/>
      </c>
      <c r="D631" s="0" t="str">
        <f aca="false">IF(B631="","",Documenti!B34)</f>
        <v/>
      </c>
      <c r="E631" s="0" t="str">
        <f aca="false">IF(B631="","","Documento")</f>
        <v/>
      </c>
      <c r="F631" s="0" t="str">
        <f aca="true">IF(B631="","",IF(B631&lt;TODAY(),B631+ROW()/100000,""))</f>
        <v/>
      </c>
    </row>
    <row r="632" customFormat="false" ht="15" hidden="false" customHeight="false" outlineLevel="0" collapsed="false">
      <c r="A632" s="0" t="str">
        <f aca="true">IF(B632="","",IF(B632&gt;=TODAY(),B632+ROW()/100000,""))</f>
        <v/>
      </c>
      <c r="B632" s="0" t="str">
        <f aca="false">IF(Documenti!C35="","",IF(Documenti!D35&lt;=90,Documenti!C35,""))</f>
        <v/>
      </c>
      <c r="C632" s="0" t="str">
        <f aca="false">IF(B632="","","Rinnovo · "&amp;Documenti!A35)</f>
        <v/>
      </c>
      <c r="D632" s="0" t="str">
        <f aca="false">IF(B632="","",Documenti!B35)</f>
        <v/>
      </c>
      <c r="E632" s="0" t="str">
        <f aca="false">IF(B632="","","Documento")</f>
        <v/>
      </c>
      <c r="F632" s="0" t="str">
        <f aca="true">IF(B632="","",IF(B632&lt;TODAY(),B632+ROW()/100000,""))</f>
        <v/>
      </c>
    </row>
    <row r="633" customFormat="false" ht="15" hidden="false" customHeight="false" outlineLevel="0" collapsed="false">
      <c r="A633" s="0" t="str">
        <f aca="true">IF(B633="","",IF(B633&gt;=TODAY(),B633+ROW()/100000,""))</f>
        <v/>
      </c>
      <c r="B633" s="0" t="str">
        <f aca="false">IF(Documenti!C36="","",IF(Documenti!D36&lt;=90,Documenti!C36,""))</f>
        <v/>
      </c>
      <c r="C633" s="0" t="str">
        <f aca="false">IF(B633="","","Rinnovo · "&amp;Documenti!A36)</f>
        <v/>
      </c>
      <c r="D633" s="0" t="str">
        <f aca="false">IF(B633="","",Documenti!B36)</f>
        <v/>
      </c>
      <c r="E633" s="0" t="str">
        <f aca="false">IF(B633="","","Documento")</f>
        <v/>
      </c>
      <c r="F633" s="0" t="str">
        <f aca="true">IF(B633="","",IF(B633&lt;TODAY(),B633+ROW()/100000,""))</f>
        <v/>
      </c>
    </row>
    <row r="634" customFormat="false" ht="15" hidden="false" customHeight="false" outlineLevel="0" collapsed="false">
      <c r="A634" s="0" t="str">
        <f aca="true">IF(B634="","",IF(B634&gt;=TODAY(),B634+ROW()/100000,""))</f>
        <v/>
      </c>
      <c r="B634" s="0" t="str">
        <f aca="false">IF(Documenti!C37="","",IF(Documenti!D37&lt;=90,Documenti!C37,""))</f>
        <v/>
      </c>
      <c r="C634" s="0" t="str">
        <f aca="false">IF(B634="","","Rinnovo · "&amp;Documenti!A37)</f>
        <v/>
      </c>
      <c r="D634" s="0" t="str">
        <f aca="false">IF(B634="","",Documenti!B37)</f>
        <v/>
      </c>
      <c r="E634" s="0" t="str">
        <f aca="false">IF(B634="","","Documento")</f>
        <v/>
      </c>
      <c r="F634" s="0" t="str">
        <f aca="true">IF(B634="","",IF(B634&lt;TODAY(),B634+ROW()/100000,""))</f>
        <v/>
      </c>
    </row>
    <row r="635" customFormat="false" ht="15" hidden="false" customHeight="false" outlineLevel="0" collapsed="false">
      <c r="A635" s="0" t="str">
        <f aca="true">IF(B635="","",IF(B635&gt;=TODAY(),B635+ROW()/100000,""))</f>
        <v/>
      </c>
      <c r="B635" s="0" t="str">
        <f aca="false">IF(Documenti!C38="","",IF(Documenti!D38&lt;=90,Documenti!C38,""))</f>
        <v/>
      </c>
      <c r="C635" s="0" t="str">
        <f aca="false">IF(B635="","","Rinnovo · "&amp;Documenti!A38)</f>
        <v/>
      </c>
      <c r="D635" s="0" t="str">
        <f aca="false">IF(B635="","",Documenti!B38)</f>
        <v/>
      </c>
      <c r="E635" s="0" t="str">
        <f aca="false">IF(B635="","","Documento")</f>
        <v/>
      </c>
      <c r="F635" s="0" t="str">
        <f aca="true">IF(B635="","",IF(B635&lt;TODAY(),B635+ROW()/100000,""))</f>
        <v/>
      </c>
    </row>
    <row r="636" customFormat="false" ht="15" hidden="false" customHeight="false" outlineLevel="0" collapsed="false">
      <c r="A636" s="0" t="str">
        <f aca="true">IF(B636="","",IF(B636&gt;=TODAY(),B636+ROW()/100000,""))</f>
        <v/>
      </c>
      <c r="B636" s="0" t="str">
        <f aca="false">IF(Documenti!C39="","",IF(Documenti!D39&lt;=90,Documenti!C39,""))</f>
        <v/>
      </c>
      <c r="C636" s="0" t="str">
        <f aca="false">IF(B636="","","Rinnovo · "&amp;Documenti!A39)</f>
        <v/>
      </c>
      <c r="D636" s="0" t="str">
        <f aca="false">IF(B636="","",Documenti!B39)</f>
        <v/>
      </c>
      <c r="E636" s="0" t="str">
        <f aca="false">IF(B636="","","Documento")</f>
        <v/>
      </c>
      <c r="F636" s="0" t="str">
        <f aca="true">IF(B636="","",IF(B636&lt;TODAY(),B636+ROW()/100000,""))</f>
        <v/>
      </c>
    </row>
    <row r="637" customFormat="false" ht="15" hidden="false" customHeight="false" outlineLevel="0" collapsed="false">
      <c r="A637" s="0" t="str">
        <f aca="true">IF(B637="","",IF(B637&gt;=TODAY(),B637+ROW()/100000,""))</f>
        <v/>
      </c>
      <c r="B637" s="0" t="str">
        <f aca="false">IF(Documenti!C40="","",IF(Documenti!D40&lt;=90,Documenti!C40,""))</f>
        <v/>
      </c>
      <c r="C637" s="0" t="str">
        <f aca="false">IF(B637="","","Rinnovo · "&amp;Documenti!A40)</f>
        <v/>
      </c>
      <c r="D637" s="0" t="str">
        <f aca="false">IF(B637="","",Documenti!B40)</f>
        <v/>
      </c>
      <c r="E637" s="0" t="str">
        <f aca="false">IF(B637="","","Documento")</f>
        <v/>
      </c>
      <c r="F637" s="0" t="str">
        <f aca="true">IF(B637="","",IF(B637&lt;TODAY(),B637+ROW()/100000,""))</f>
        <v/>
      </c>
    </row>
    <row r="638" customFormat="false" ht="15" hidden="false" customHeight="false" outlineLevel="0" collapsed="false">
      <c r="A638" s="0" t="str">
        <f aca="true">IF(B638="","",IF(B638&gt;=TODAY(),B638+ROW()/100000,""))</f>
        <v/>
      </c>
      <c r="B638" s="0" t="str">
        <f aca="false">IF(Documenti!C41="","",IF(Documenti!D41&lt;=90,Documenti!C41,""))</f>
        <v/>
      </c>
      <c r="C638" s="0" t="str">
        <f aca="false">IF(B638="","","Rinnovo · "&amp;Documenti!A41)</f>
        <v/>
      </c>
      <c r="D638" s="0" t="str">
        <f aca="false">IF(B638="","",Documenti!B41)</f>
        <v/>
      </c>
      <c r="E638" s="0" t="str">
        <f aca="false">IF(B638="","","Documento")</f>
        <v/>
      </c>
      <c r="F638" s="0" t="str">
        <f aca="true">IF(B638="","",IF(B638&lt;TODAY(),B638+ROW()/100000,""))</f>
        <v/>
      </c>
    </row>
    <row r="639" customFormat="false" ht="15" hidden="false" customHeight="false" outlineLevel="0" collapsed="false">
      <c r="A639" s="0" t="str">
        <f aca="true">IF(B639="","",IF(B639&gt;=TODAY(),B639+ROW()/100000,""))</f>
        <v/>
      </c>
      <c r="B639" s="0" t="str">
        <f aca="false">IF(Documenti!C42="","",IF(Documenti!D42&lt;=90,Documenti!C42,""))</f>
        <v/>
      </c>
      <c r="C639" s="0" t="str">
        <f aca="false">IF(B639="","","Rinnovo · "&amp;Documenti!A42)</f>
        <v/>
      </c>
      <c r="D639" s="0" t="str">
        <f aca="false">IF(B639="","",Documenti!B42)</f>
        <v/>
      </c>
      <c r="E639" s="0" t="str">
        <f aca="false">IF(B639="","","Documento")</f>
        <v/>
      </c>
      <c r="F639" s="0" t="str">
        <f aca="true">IF(B639="","",IF(B639&lt;TODAY(),B639+ROW()/100000,""))</f>
        <v/>
      </c>
    </row>
    <row r="640" customFormat="false" ht="15" hidden="false" customHeight="false" outlineLevel="0" collapsed="false">
      <c r="A640" s="0" t="str">
        <f aca="true">IF(B640="","",IF(B640&gt;=TODAY(),B640+ROW()/100000,""))</f>
        <v/>
      </c>
      <c r="B640" s="0" t="str">
        <f aca="false">IF(Documenti!C43="","",IF(Documenti!D43&lt;=90,Documenti!C43,""))</f>
        <v/>
      </c>
      <c r="C640" s="0" t="str">
        <f aca="false">IF(B640="","","Rinnovo · "&amp;Documenti!A43)</f>
        <v/>
      </c>
      <c r="D640" s="0" t="str">
        <f aca="false">IF(B640="","",Documenti!B43)</f>
        <v/>
      </c>
      <c r="E640" s="0" t="str">
        <f aca="false">IF(B640="","","Documento")</f>
        <v/>
      </c>
      <c r="F640" s="0" t="str">
        <f aca="true">IF(B640="","",IF(B640&lt;TODAY(),B640+ROW()/100000,""))</f>
        <v/>
      </c>
    </row>
    <row r="641" customFormat="false" ht="15" hidden="false" customHeight="false" outlineLevel="0" collapsed="false">
      <c r="A641" s="0" t="str">
        <f aca="true">IF(B641="","",IF(B641&gt;=TODAY(),B641+ROW()/100000,""))</f>
        <v/>
      </c>
      <c r="B641" s="0" t="str">
        <f aca="false">IF(Documenti!C44="","",IF(Documenti!D44&lt;=90,Documenti!C44,""))</f>
        <v/>
      </c>
      <c r="C641" s="0" t="str">
        <f aca="false">IF(B641="","","Rinnovo · "&amp;Documenti!A44)</f>
        <v/>
      </c>
      <c r="D641" s="0" t="str">
        <f aca="false">IF(B641="","",Documenti!B44)</f>
        <v/>
      </c>
      <c r="E641" s="0" t="str">
        <f aca="false">IF(B641="","","Documento")</f>
        <v/>
      </c>
      <c r="F641" s="0" t="str">
        <f aca="true">IF(B641="","",IF(B641&lt;TODAY(),B641+ROW()/100000,""))</f>
        <v/>
      </c>
    </row>
    <row r="642" customFormat="false" ht="15" hidden="false" customHeight="false" outlineLevel="0" collapsed="false">
      <c r="A642" s="0" t="str">
        <f aca="true">IF(B642="","",IF(B642&gt;=TODAY(),B642+ROW()/100000,""))</f>
        <v/>
      </c>
      <c r="B642" s="0" t="str">
        <f aca="false">IF(Documenti!C45="","",IF(Documenti!D45&lt;=90,Documenti!C45,""))</f>
        <v/>
      </c>
      <c r="C642" s="0" t="str">
        <f aca="false">IF(B642="","","Rinnovo · "&amp;Documenti!A45)</f>
        <v/>
      </c>
      <c r="D642" s="0" t="str">
        <f aca="false">IF(B642="","",Documenti!B45)</f>
        <v/>
      </c>
      <c r="E642" s="0" t="str">
        <f aca="false">IF(B642="","","Documento")</f>
        <v/>
      </c>
      <c r="F642" s="0" t="str">
        <f aca="true">IF(B642="","",IF(B642&lt;TODAY(),B642+ROW()/100000,""))</f>
        <v/>
      </c>
    </row>
    <row r="643" customFormat="false" ht="15" hidden="false" customHeight="false" outlineLevel="0" collapsed="false">
      <c r="A643" s="0" t="str">
        <f aca="true">IF(B643="","",IF(B643&gt;=TODAY(),B643+ROW()/100000,""))</f>
        <v/>
      </c>
      <c r="B643" s="0" t="str">
        <f aca="false">IF(Documenti!C46="","",IF(Documenti!D46&lt;=90,Documenti!C46,""))</f>
        <v/>
      </c>
      <c r="C643" s="0" t="str">
        <f aca="false">IF(B643="","","Rinnovo · "&amp;Documenti!A46)</f>
        <v/>
      </c>
      <c r="D643" s="0" t="str">
        <f aca="false">IF(B643="","",Documenti!B46)</f>
        <v/>
      </c>
      <c r="E643" s="0" t="str">
        <f aca="false">IF(B643="","","Documento")</f>
        <v/>
      </c>
      <c r="F643" s="0" t="str">
        <f aca="true">IF(B643="","",IF(B643&lt;TODAY(),B643+ROW()/100000,""))</f>
        <v/>
      </c>
    </row>
    <row r="644" customFormat="false" ht="15" hidden="false" customHeight="false" outlineLevel="0" collapsed="false">
      <c r="A644" s="0" t="str">
        <f aca="true">IF(B644="","",IF(B644&gt;=TODAY(),B644+ROW()/100000,""))</f>
        <v/>
      </c>
      <c r="B644" s="0" t="str">
        <f aca="false">IF(Documenti!C47="","",IF(Documenti!D47&lt;=90,Documenti!C47,""))</f>
        <v/>
      </c>
      <c r="C644" s="0" t="str">
        <f aca="false">IF(B644="","","Rinnovo · "&amp;Documenti!A47)</f>
        <v/>
      </c>
      <c r="D644" s="0" t="str">
        <f aca="false">IF(B644="","",Documenti!B47)</f>
        <v/>
      </c>
      <c r="E644" s="0" t="str">
        <f aca="false">IF(B644="","","Documento")</f>
        <v/>
      </c>
      <c r="F644" s="0" t="str">
        <f aca="true">IF(B644="","",IF(B644&lt;TODAY(),B644+ROW()/100000,""))</f>
        <v/>
      </c>
    </row>
    <row r="645" customFormat="false" ht="15" hidden="false" customHeight="false" outlineLevel="0" collapsed="false">
      <c r="A645" s="0" t="str">
        <f aca="true">IF(B645="","",IF(B645&gt;=TODAY(),B645+ROW()/100000,""))</f>
        <v/>
      </c>
      <c r="B645" s="0" t="str">
        <f aca="false">IF(Documenti!C48="","",IF(Documenti!D48&lt;=90,Documenti!C48,""))</f>
        <v/>
      </c>
      <c r="C645" s="0" t="str">
        <f aca="false">IF(B645="","","Rinnovo · "&amp;Documenti!A48)</f>
        <v/>
      </c>
      <c r="D645" s="0" t="str">
        <f aca="false">IF(B645="","",Documenti!B48)</f>
        <v/>
      </c>
      <c r="E645" s="0" t="str">
        <f aca="false">IF(B645="","","Documento")</f>
        <v/>
      </c>
      <c r="F645" s="0" t="str">
        <f aca="true">IF(B645="","",IF(B645&lt;TODAY(),B645+ROW()/100000,""))</f>
        <v/>
      </c>
    </row>
    <row r="646" customFormat="false" ht="15" hidden="false" customHeight="false" outlineLevel="0" collapsed="false">
      <c r="A646" s="0" t="str">
        <f aca="true">IF(B646="","",IF(B646&gt;=TODAY(),B646+ROW()/100000,""))</f>
        <v/>
      </c>
      <c r="B646" s="0" t="str">
        <f aca="false">IF(Documenti!C49="","",IF(Documenti!D49&lt;=90,Documenti!C49,""))</f>
        <v/>
      </c>
      <c r="C646" s="0" t="str">
        <f aca="false">IF(B646="","","Rinnovo · "&amp;Documenti!A49)</f>
        <v/>
      </c>
      <c r="D646" s="0" t="str">
        <f aca="false">IF(B646="","",Documenti!B49)</f>
        <v/>
      </c>
      <c r="E646" s="0" t="str">
        <f aca="false">IF(B646="","","Documento")</f>
        <v/>
      </c>
      <c r="F646" s="0" t="str">
        <f aca="true">IF(B646="","",IF(B646&lt;TODAY(),B646+ROW()/100000,""))</f>
        <v/>
      </c>
    </row>
    <row r="647" customFormat="false" ht="15" hidden="false" customHeight="false" outlineLevel="0" collapsed="false">
      <c r="A647" s="0" t="str">
        <f aca="true">IF(B647="","",IF(B647&gt;=TODAY(),B647+ROW()/100000,""))</f>
        <v/>
      </c>
      <c r="B647" s="0" t="str">
        <f aca="false">IF(Documenti!C50="","",IF(Documenti!D50&lt;=90,Documenti!C50,""))</f>
        <v/>
      </c>
      <c r="C647" s="0" t="str">
        <f aca="false">IF(B647="","","Rinnovo · "&amp;Documenti!A50)</f>
        <v/>
      </c>
      <c r="D647" s="0" t="str">
        <f aca="false">IF(B647="","",Documenti!B50)</f>
        <v/>
      </c>
      <c r="E647" s="0" t="str">
        <f aca="false">IF(B647="","","Documento")</f>
        <v/>
      </c>
      <c r="F647" s="0" t="str">
        <f aca="true">IF(B647="","",IF(B647&lt;TODAY(),B647+ROW()/100000,""))</f>
        <v/>
      </c>
    </row>
    <row r="648" customFormat="false" ht="15" hidden="false" customHeight="false" outlineLevel="0" collapsed="false">
      <c r="A648" s="0" t="str">
        <f aca="true">IF(B648="","",IF(B648&gt;=TODAY(),B648+ROW()/100000,""))</f>
        <v/>
      </c>
      <c r="B648" s="0" t="str">
        <f aca="false">IF(Documenti!C51="","",IF(Documenti!D51&lt;=90,Documenti!C51,""))</f>
        <v/>
      </c>
      <c r="C648" s="0" t="str">
        <f aca="false">IF(B648="","","Rinnovo · "&amp;Documenti!A51)</f>
        <v/>
      </c>
      <c r="D648" s="0" t="str">
        <f aca="false">IF(B648="","",Documenti!B51)</f>
        <v/>
      </c>
      <c r="E648" s="0" t="str">
        <f aca="false">IF(B648="","","Documento")</f>
        <v/>
      </c>
      <c r="F648" s="0" t="str">
        <f aca="true">IF(B648="","",IF(B648&lt;TODAY(),B648+ROW()/100000,""))</f>
        <v/>
      </c>
    </row>
    <row r="649" customFormat="false" ht="15" hidden="false" customHeight="false" outlineLevel="0" collapsed="false">
      <c r="A649" s="0" t="str">
        <f aca="true">IF(B649="","",IF(B649&gt;=TODAY(),B649+ROW()/100000,""))</f>
        <v/>
      </c>
      <c r="B649" s="0" t="str">
        <f aca="false">IF(Documenti!C52="","",IF(Documenti!D52&lt;=90,Documenti!C52,""))</f>
        <v/>
      </c>
      <c r="C649" s="0" t="str">
        <f aca="false">IF(B649="","","Rinnovo · "&amp;Documenti!A52)</f>
        <v/>
      </c>
      <c r="D649" s="0" t="str">
        <f aca="false">IF(B649="","",Documenti!B52)</f>
        <v/>
      </c>
      <c r="E649" s="0" t="str">
        <f aca="false">IF(B649="","","Documento")</f>
        <v/>
      </c>
      <c r="F649" s="0" t="str">
        <f aca="true">IF(B649="","",IF(B649&lt;TODAY(),B649+ROW()/100000,""))</f>
        <v/>
      </c>
    </row>
    <row r="650" customFormat="false" ht="15" hidden="false" customHeight="false" outlineLevel="0" collapsed="false">
      <c r="A650" s="0" t="str">
        <f aca="true">IF(B650="","",IF(B650&gt;=TODAY(),B650+ROW()/100000,""))</f>
        <v/>
      </c>
      <c r="B650" s="0" t="str">
        <f aca="false">IF(Documenti!C53="","",IF(Documenti!D53&lt;=90,Documenti!C53,""))</f>
        <v/>
      </c>
      <c r="C650" s="0" t="str">
        <f aca="false">IF(B650="","","Rinnovo · "&amp;Documenti!A53)</f>
        <v/>
      </c>
      <c r="D650" s="0" t="str">
        <f aca="false">IF(B650="","",Documenti!B53)</f>
        <v/>
      </c>
      <c r="E650" s="0" t="str">
        <f aca="false">IF(B650="","","Documento")</f>
        <v/>
      </c>
      <c r="F650" s="0" t="str">
        <f aca="true">IF(B650="","",IF(B650&lt;TODAY(),B650+ROW()/100000,""))</f>
        <v/>
      </c>
    </row>
    <row r="651" customFormat="false" ht="15" hidden="false" customHeight="false" outlineLevel="0" collapsed="false">
      <c r="A651" s="0" t="str">
        <f aca="true">IF(B651="","",IF(B651&gt;=TODAY(),B651+ROW()/100000,""))</f>
        <v/>
      </c>
      <c r="B651" s="0" t="str">
        <f aca="false">IF(Documenti!C54="","",IF(Documenti!D54&lt;=90,Documenti!C54,""))</f>
        <v/>
      </c>
      <c r="C651" s="0" t="str">
        <f aca="false">IF(B651="","","Rinnovo · "&amp;Documenti!A54)</f>
        <v/>
      </c>
      <c r="D651" s="0" t="str">
        <f aca="false">IF(B651="","",Documenti!B54)</f>
        <v/>
      </c>
      <c r="E651" s="0" t="str">
        <f aca="false">IF(B651="","","Documento")</f>
        <v/>
      </c>
      <c r="F651" s="0" t="str">
        <f aca="true">IF(B651="","",IF(B651&lt;TODAY(),B651+ROW()/100000,""))</f>
        <v/>
      </c>
    </row>
    <row r="652" customFormat="false" ht="15" hidden="false" customHeight="false" outlineLevel="0" collapsed="false">
      <c r="A652" s="0" t="str">
        <f aca="true">IF(B652="","",IF(B652&gt;=TODAY(),B652+ROW()/100000,""))</f>
        <v/>
      </c>
      <c r="B652" s="0" t="str">
        <f aca="false">IF(Documenti!C55="","",IF(Documenti!D55&lt;=90,Documenti!C55,""))</f>
        <v/>
      </c>
      <c r="C652" s="0" t="str">
        <f aca="false">IF(B652="","","Rinnovo · "&amp;Documenti!A55)</f>
        <v/>
      </c>
      <c r="D652" s="0" t="str">
        <f aca="false">IF(B652="","",Documenti!B55)</f>
        <v/>
      </c>
      <c r="E652" s="0" t="str">
        <f aca="false">IF(B652="","","Documento")</f>
        <v/>
      </c>
      <c r="F652" s="0" t="str">
        <f aca="true">IF(B652="","",IF(B652&lt;TODAY(),B652+ROW()/100000,""))</f>
        <v/>
      </c>
    </row>
    <row r="653" customFormat="false" ht="15" hidden="false" customHeight="false" outlineLevel="0" collapsed="false">
      <c r="A653" s="0" t="str">
        <f aca="true">IF(B653="","",IF(B653&gt;=TODAY(),B653+ROW()/100000,""))</f>
        <v/>
      </c>
      <c r="B653" s="0" t="str">
        <f aca="false">IF(Documenti!C56="","",IF(Documenti!D56&lt;=90,Documenti!C56,""))</f>
        <v/>
      </c>
      <c r="C653" s="0" t="str">
        <f aca="false">IF(B653="","","Rinnovo · "&amp;Documenti!A56)</f>
        <v/>
      </c>
      <c r="D653" s="0" t="str">
        <f aca="false">IF(B653="","",Documenti!B56)</f>
        <v/>
      </c>
      <c r="E653" s="0" t="str">
        <f aca="false">IF(B653="","","Documento")</f>
        <v/>
      </c>
      <c r="F653" s="0" t="str">
        <f aca="true">IF(B653="","",IF(B653&lt;TODAY(),B653+ROW()/100000,""))</f>
        <v/>
      </c>
    </row>
    <row r="654" customFormat="false" ht="15" hidden="false" customHeight="false" outlineLevel="0" collapsed="false">
      <c r="A654" s="0" t="str">
        <f aca="true">IF(B654="","",IF(B654&gt;=TODAY(),B654+ROW()/100000,""))</f>
        <v/>
      </c>
      <c r="B654" s="0" t="str">
        <f aca="false">IF(Documenti!C57="","",IF(Documenti!D57&lt;=90,Documenti!C57,""))</f>
        <v/>
      </c>
      <c r="C654" s="0" t="str">
        <f aca="false">IF(B654="","","Rinnovo · "&amp;Documenti!A57)</f>
        <v/>
      </c>
      <c r="D654" s="0" t="str">
        <f aca="false">IF(B654="","",Documenti!B57)</f>
        <v/>
      </c>
      <c r="E654" s="0" t="str">
        <f aca="false">IF(B654="","","Documento")</f>
        <v/>
      </c>
      <c r="F654" s="0" t="str">
        <f aca="true">IF(B654="","",IF(B654&lt;TODAY(),B654+ROW()/100000,""))</f>
        <v/>
      </c>
    </row>
    <row r="655" customFormat="false" ht="15" hidden="false" customHeight="false" outlineLevel="0" collapsed="false">
      <c r="A655" s="0" t="str">
        <f aca="true">IF(B655="","",IF(B655&gt;=TODAY(),B655+ROW()/100000,""))</f>
        <v/>
      </c>
      <c r="B655" s="0" t="str">
        <f aca="false">IF(Documenti!C58="","",IF(Documenti!D58&lt;=90,Documenti!C58,""))</f>
        <v/>
      </c>
      <c r="C655" s="0" t="str">
        <f aca="false">IF(B655="","","Rinnovo · "&amp;Documenti!A58)</f>
        <v/>
      </c>
      <c r="D655" s="0" t="str">
        <f aca="false">IF(B655="","",Documenti!B58)</f>
        <v/>
      </c>
      <c r="E655" s="0" t="str">
        <f aca="false">IF(B655="","","Documento")</f>
        <v/>
      </c>
      <c r="F655" s="0" t="str">
        <f aca="true">IF(B655="","",IF(B655&lt;TODAY(),B655+ROW()/100000,""))</f>
        <v/>
      </c>
    </row>
    <row r="656" customFormat="false" ht="15" hidden="false" customHeight="false" outlineLevel="0" collapsed="false">
      <c r="A656" s="0" t="str">
        <f aca="true">IF(B656="","",IF(B656&gt;=TODAY(),B656+ROW()/100000,""))</f>
        <v/>
      </c>
      <c r="B656" s="0" t="str">
        <f aca="false">IF(Documenti!C59="","",IF(Documenti!D59&lt;=90,Documenti!C59,""))</f>
        <v/>
      </c>
      <c r="C656" s="0" t="str">
        <f aca="false">IF(B656="","","Rinnovo · "&amp;Documenti!A59)</f>
        <v/>
      </c>
      <c r="D656" s="0" t="str">
        <f aca="false">IF(B656="","",Documenti!B59)</f>
        <v/>
      </c>
      <c r="E656" s="0" t="str">
        <f aca="false">IF(B656="","","Documento")</f>
        <v/>
      </c>
      <c r="F656" s="0" t="str">
        <f aca="true">IF(B656="","",IF(B656&lt;TODAY(),B656+ROW()/100000,""))</f>
        <v/>
      </c>
    </row>
    <row r="657" customFormat="false" ht="15" hidden="false" customHeight="false" outlineLevel="0" collapsed="false">
      <c r="A657" s="0" t="str">
        <f aca="true">IF(B657="","",IF(B657&gt;=TODAY(),B657+ROW()/100000,""))</f>
        <v/>
      </c>
      <c r="B657" s="0" t="str">
        <f aca="false">IF(Documenti!C60="","",IF(Documenti!D60&lt;=90,Documenti!C60,""))</f>
        <v/>
      </c>
      <c r="C657" s="0" t="str">
        <f aca="false">IF(B657="","","Rinnovo · "&amp;Documenti!A60)</f>
        <v/>
      </c>
      <c r="D657" s="0" t="str">
        <f aca="false">IF(B657="","",Documenti!B60)</f>
        <v/>
      </c>
      <c r="E657" s="0" t="str">
        <f aca="false">IF(B657="","","Documento")</f>
        <v/>
      </c>
      <c r="F657" s="0" t="str">
        <f aca="true">IF(B657="","",IF(B657&lt;TODAY(),B657+ROW()/100000,""))</f>
        <v/>
      </c>
    </row>
    <row r="658" customFormat="false" ht="15" hidden="false" customHeight="false" outlineLevel="0" collapsed="false">
      <c r="A658" s="0" t="str">
        <f aca="true">IF(B658="","",IF(B658&gt;=TODAY(),B658+ROW()/100000,""))</f>
        <v/>
      </c>
      <c r="B658" s="0" t="str">
        <f aca="false">IF(Documenti!C61="","",IF(Documenti!D61&lt;=90,Documenti!C61,""))</f>
        <v/>
      </c>
      <c r="C658" s="0" t="str">
        <f aca="false">IF(B658="","","Rinnovo · "&amp;Documenti!A61)</f>
        <v/>
      </c>
      <c r="D658" s="0" t="str">
        <f aca="false">IF(B658="","",Documenti!B61)</f>
        <v/>
      </c>
      <c r="E658" s="0" t="str">
        <f aca="false">IF(B658="","","Documento")</f>
        <v/>
      </c>
      <c r="F658" s="0" t="str">
        <f aca="true">IF(B658="","",IF(B658&lt;TODAY(),B658+ROW()/100000,""))</f>
        <v/>
      </c>
    </row>
    <row r="659" customFormat="false" ht="15" hidden="false" customHeight="false" outlineLevel="0" collapsed="false">
      <c r="A659" s="0" t="str">
        <f aca="true">IF(B659="","",IF(B659&gt;=TODAY(),B659+ROW()/100000,""))</f>
        <v/>
      </c>
      <c r="B659" s="0" t="str">
        <f aca="false">IF(Documenti!C62="","",IF(Documenti!D62&lt;=90,Documenti!C62,""))</f>
        <v/>
      </c>
      <c r="C659" s="0" t="str">
        <f aca="false">IF(B659="","","Rinnovo · "&amp;Documenti!A62)</f>
        <v/>
      </c>
      <c r="D659" s="0" t="str">
        <f aca="false">IF(B659="","",Documenti!B62)</f>
        <v/>
      </c>
      <c r="E659" s="0" t="str">
        <f aca="false">IF(B659="","","Documento")</f>
        <v/>
      </c>
      <c r="F659" s="0" t="str">
        <f aca="true">IF(B659="","",IF(B659&lt;TODAY(),B659+ROW()/100000,""))</f>
        <v/>
      </c>
    </row>
    <row r="660" customFormat="false" ht="15" hidden="false" customHeight="false" outlineLevel="0" collapsed="false">
      <c r="A660" s="0" t="str">
        <f aca="true">IF(B660="","",IF(B660&gt;=TODAY(),B660+ROW()/100000,""))</f>
        <v/>
      </c>
      <c r="B660" s="0" t="str">
        <f aca="false">IF(Documenti!C63="","",IF(Documenti!D63&lt;=90,Documenti!C63,""))</f>
        <v/>
      </c>
      <c r="C660" s="0" t="str">
        <f aca="false">IF(B660="","","Rinnovo · "&amp;Documenti!A63)</f>
        <v/>
      </c>
      <c r="D660" s="0" t="str">
        <f aca="false">IF(B660="","",Documenti!B63)</f>
        <v/>
      </c>
      <c r="E660" s="0" t="str">
        <f aca="false">IF(B660="","","Documento")</f>
        <v/>
      </c>
      <c r="F660" s="0" t="str">
        <f aca="true">IF(B660="","",IF(B660&lt;TODAY(),B660+ROW()/100000,""))</f>
        <v/>
      </c>
    </row>
    <row r="661" customFormat="false" ht="15" hidden="false" customHeight="false" outlineLevel="0" collapsed="false">
      <c r="A661" s="0" t="str">
        <f aca="true">IF(B661="","",IF(B661&gt;=TODAY(),B661+ROW()/100000,""))</f>
        <v/>
      </c>
      <c r="B661" s="0" t="str">
        <f aca="false">IF(Documenti!C64="","",IF(Documenti!D64&lt;=90,Documenti!C64,""))</f>
        <v/>
      </c>
      <c r="C661" s="0" t="str">
        <f aca="false">IF(B661="","","Rinnovo · "&amp;Documenti!A64)</f>
        <v/>
      </c>
      <c r="D661" s="0" t="str">
        <f aca="false">IF(B661="","",Documenti!B64)</f>
        <v/>
      </c>
      <c r="E661" s="0" t="str">
        <f aca="false">IF(B661="","","Documento")</f>
        <v/>
      </c>
      <c r="F661" s="0" t="str">
        <f aca="true">IF(B661="","",IF(B661&lt;TODAY(),B661+ROW()/100000,""))</f>
        <v/>
      </c>
    </row>
    <row r="662" customFormat="false" ht="15" hidden="false" customHeight="false" outlineLevel="0" collapsed="false">
      <c r="A662" s="0" t="str">
        <f aca="true">IF(B662="","",IF(B662&gt;=TODAY(),B662+ROW()/100000,""))</f>
        <v/>
      </c>
      <c r="B662" s="0" t="str">
        <f aca="false">IF(Documenti!C65="","",IF(Documenti!D65&lt;=90,Documenti!C65,""))</f>
        <v/>
      </c>
      <c r="C662" s="0" t="str">
        <f aca="false">IF(B662="","","Rinnovo · "&amp;Documenti!A65)</f>
        <v/>
      </c>
      <c r="D662" s="0" t="str">
        <f aca="false">IF(B662="","",Documenti!B65)</f>
        <v/>
      </c>
      <c r="E662" s="0" t="str">
        <f aca="false">IF(B662="","","Documento")</f>
        <v/>
      </c>
      <c r="F662" s="0" t="str">
        <f aca="true">IF(B662="","",IF(B662&lt;TODAY(),B662+ROW()/100000,""))</f>
        <v/>
      </c>
    </row>
    <row r="663" customFormat="false" ht="15" hidden="false" customHeight="false" outlineLevel="0" collapsed="false">
      <c r="A663" s="0" t="str">
        <f aca="true">IF(B663="","",IF(B663&gt;=TODAY(),B663+ROW()/100000,""))</f>
        <v/>
      </c>
      <c r="B663" s="0" t="str">
        <f aca="false">IF(Documenti!C66="","",IF(Documenti!D66&lt;=90,Documenti!C66,""))</f>
        <v/>
      </c>
      <c r="C663" s="0" t="str">
        <f aca="false">IF(B663="","","Rinnovo · "&amp;Documenti!A66)</f>
        <v/>
      </c>
      <c r="D663" s="0" t="str">
        <f aca="false">IF(B663="","",Documenti!B66)</f>
        <v/>
      </c>
      <c r="E663" s="0" t="str">
        <f aca="false">IF(B663="","","Documento")</f>
        <v/>
      </c>
      <c r="F663" s="0" t="str">
        <f aca="true">IF(B663="","",IF(B663&lt;TODAY(),B663+ROW()/100000,""))</f>
        <v/>
      </c>
    </row>
    <row r="664" customFormat="false" ht="15" hidden="false" customHeight="false" outlineLevel="0" collapsed="false">
      <c r="A664" s="0" t="str">
        <f aca="true">IF(B664="","",IF(B664&gt;=TODAY(),B664+ROW()/100000,""))</f>
        <v/>
      </c>
      <c r="B664" s="0" t="str">
        <f aca="false">IF(Documenti!C67="","",IF(Documenti!D67&lt;=90,Documenti!C67,""))</f>
        <v/>
      </c>
      <c r="C664" s="0" t="str">
        <f aca="false">IF(B664="","","Rinnovo · "&amp;Documenti!A67)</f>
        <v/>
      </c>
      <c r="D664" s="0" t="str">
        <f aca="false">IF(B664="","",Documenti!B67)</f>
        <v/>
      </c>
      <c r="E664" s="0" t="str">
        <f aca="false">IF(B664="","","Documento")</f>
        <v/>
      </c>
      <c r="F664" s="0" t="str">
        <f aca="true">IF(B664="","",IF(B664&lt;TODAY(),B664+ROW()/100000,""))</f>
        <v/>
      </c>
    </row>
    <row r="665" customFormat="false" ht="15" hidden="false" customHeight="false" outlineLevel="0" collapsed="false">
      <c r="A665" s="0" t="str">
        <f aca="true">IF(B665="","",IF(B665&gt;=TODAY(),B665+ROW()/100000,""))</f>
        <v/>
      </c>
      <c r="B665" s="0" t="str">
        <f aca="false">IF(Documenti!C68="","",IF(Documenti!D68&lt;=90,Documenti!C68,""))</f>
        <v/>
      </c>
      <c r="C665" s="0" t="str">
        <f aca="false">IF(B665="","","Rinnovo · "&amp;Documenti!A68)</f>
        <v/>
      </c>
      <c r="D665" s="0" t="str">
        <f aca="false">IF(B665="","",Documenti!B68)</f>
        <v/>
      </c>
      <c r="E665" s="0" t="str">
        <f aca="false">IF(B665="","","Documento")</f>
        <v/>
      </c>
      <c r="F665" s="0" t="str">
        <f aca="true">IF(B665="","",IF(B665&lt;TODAY(),B665+ROW()/100000,""))</f>
        <v/>
      </c>
    </row>
    <row r="666" customFormat="false" ht="15" hidden="false" customHeight="false" outlineLevel="0" collapsed="false">
      <c r="A666" s="0" t="str">
        <f aca="true">IF(B666="","",IF(B666&gt;=TODAY(),B666+ROW()/100000,""))</f>
        <v/>
      </c>
      <c r="B666" s="0" t="str">
        <f aca="false">IF(Documenti!C69="","",IF(Documenti!D69&lt;=90,Documenti!C69,""))</f>
        <v/>
      </c>
      <c r="C666" s="0" t="str">
        <f aca="false">IF(B666="","","Rinnovo · "&amp;Documenti!A69)</f>
        <v/>
      </c>
      <c r="D666" s="0" t="str">
        <f aca="false">IF(B666="","",Documenti!B69)</f>
        <v/>
      </c>
      <c r="E666" s="0" t="str">
        <f aca="false">IF(B666="","","Documento")</f>
        <v/>
      </c>
      <c r="F666" s="0" t="str">
        <f aca="true">IF(B666="","",IF(B666&lt;TODAY(),B666+ROW()/100000,""))</f>
        <v/>
      </c>
    </row>
    <row r="667" customFormat="false" ht="15" hidden="false" customHeight="false" outlineLevel="0" collapsed="false">
      <c r="A667" s="0" t="str">
        <f aca="true">IF(B667="","",IF(B667&gt;=TODAY(),B667+ROW()/100000,""))</f>
        <v/>
      </c>
      <c r="B667" s="0" t="str">
        <f aca="false">IF(Documenti!C70="","",IF(Documenti!D70&lt;=90,Documenti!C70,""))</f>
        <v/>
      </c>
      <c r="C667" s="0" t="str">
        <f aca="false">IF(B667="","","Rinnovo · "&amp;Documenti!A70)</f>
        <v/>
      </c>
      <c r="D667" s="0" t="str">
        <f aca="false">IF(B667="","",Documenti!B70)</f>
        <v/>
      </c>
      <c r="E667" s="0" t="str">
        <f aca="false">IF(B667="","","Documento")</f>
        <v/>
      </c>
      <c r="F667" s="0" t="str">
        <f aca="true">IF(B667="","",IF(B667&lt;TODAY(),B667+ROW()/100000,""))</f>
        <v/>
      </c>
    </row>
    <row r="668" customFormat="false" ht="15" hidden="false" customHeight="false" outlineLevel="0" collapsed="false">
      <c r="A668" s="0" t="str">
        <f aca="true">IF(B668="","",IF(B668&gt;=TODAY(),B668+ROW()/100000,""))</f>
        <v/>
      </c>
      <c r="B668" s="0" t="str">
        <f aca="false">IF(Documenti!C71="","",IF(Documenti!D71&lt;=90,Documenti!C71,""))</f>
        <v/>
      </c>
      <c r="C668" s="0" t="str">
        <f aca="false">IF(B668="","","Rinnovo · "&amp;Documenti!A71)</f>
        <v/>
      </c>
      <c r="D668" s="0" t="str">
        <f aca="false">IF(B668="","",Documenti!B71)</f>
        <v/>
      </c>
      <c r="E668" s="0" t="str">
        <f aca="false">IF(B668="","","Documento")</f>
        <v/>
      </c>
      <c r="F668" s="0" t="str">
        <f aca="true">IF(B668="","",IF(B668&lt;TODAY(),B668+ROW()/100000,""))</f>
        <v/>
      </c>
    </row>
    <row r="669" customFormat="false" ht="15" hidden="false" customHeight="false" outlineLevel="0" collapsed="false">
      <c r="A669" s="0" t="str">
        <f aca="true">IF(B669="","",IF(B669&gt;=TODAY(),B669+ROW()/100000,""))</f>
        <v/>
      </c>
      <c r="B669" s="0" t="str">
        <f aca="false">IF(Documenti!C72="","",IF(Documenti!D72&lt;=90,Documenti!C72,""))</f>
        <v/>
      </c>
      <c r="C669" s="0" t="str">
        <f aca="false">IF(B669="","","Rinnovo · "&amp;Documenti!A72)</f>
        <v/>
      </c>
      <c r="D669" s="0" t="str">
        <f aca="false">IF(B669="","",Documenti!B72)</f>
        <v/>
      </c>
      <c r="E669" s="0" t="str">
        <f aca="false">IF(B669="","","Documento")</f>
        <v/>
      </c>
      <c r="F669" s="0" t="str">
        <f aca="true">IF(B669="","",IF(B669&lt;TODAY(),B669+ROW()/100000,""))</f>
        <v/>
      </c>
    </row>
    <row r="670" customFormat="false" ht="15" hidden="false" customHeight="false" outlineLevel="0" collapsed="false">
      <c r="A670" s="0" t="str">
        <f aca="true">IF(B670="","",IF(B670&gt;=TODAY(),B670+ROW()/100000,""))</f>
        <v/>
      </c>
      <c r="B670" s="0" t="str">
        <f aca="false">IF(Documenti!C73="","",IF(Documenti!D73&lt;=90,Documenti!C73,""))</f>
        <v/>
      </c>
      <c r="C670" s="0" t="str">
        <f aca="false">IF(B670="","","Rinnovo · "&amp;Documenti!A73)</f>
        <v/>
      </c>
      <c r="D670" s="0" t="str">
        <f aca="false">IF(B670="","",Documenti!B73)</f>
        <v/>
      </c>
      <c r="E670" s="0" t="str">
        <f aca="false">IF(B670="","","Documento")</f>
        <v/>
      </c>
      <c r="F670" s="0" t="str">
        <f aca="true">IF(B670="","",IF(B670&lt;TODAY(),B670+ROW()/100000,""))</f>
        <v/>
      </c>
    </row>
    <row r="671" customFormat="false" ht="15" hidden="false" customHeight="false" outlineLevel="0" collapsed="false">
      <c r="A671" s="0" t="str">
        <f aca="true">IF(B671="","",IF(B671&gt;=TODAY(),B671+ROW()/100000,""))</f>
        <v/>
      </c>
      <c r="B671" s="0" t="str">
        <f aca="false">IF(Documenti!C74="","",IF(Documenti!D74&lt;=90,Documenti!C74,""))</f>
        <v/>
      </c>
      <c r="C671" s="0" t="str">
        <f aca="false">IF(B671="","","Rinnovo · "&amp;Documenti!A74)</f>
        <v/>
      </c>
      <c r="D671" s="0" t="str">
        <f aca="false">IF(B671="","",Documenti!B74)</f>
        <v/>
      </c>
      <c r="E671" s="0" t="str">
        <f aca="false">IF(B671="","","Documento")</f>
        <v/>
      </c>
      <c r="F671" s="0" t="str">
        <f aca="true">IF(B671="","",IF(B671&lt;TODAY(),B671+ROW()/100000,""))</f>
        <v/>
      </c>
    </row>
    <row r="672" customFormat="false" ht="15" hidden="false" customHeight="false" outlineLevel="0" collapsed="false">
      <c r="A672" s="0" t="str">
        <f aca="true">IF(B672="","",IF(B672&gt;=TODAY(),B672+ROW()/100000,""))</f>
        <v/>
      </c>
      <c r="B672" s="0" t="str">
        <f aca="false">IF(Documenti!C75="","",IF(Documenti!D75&lt;=90,Documenti!C75,""))</f>
        <v/>
      </c>
      <c r="C672" s="0" t="str">
        <f aca="false">IF(B672="","","Rinnovo · "&amp;Documenti!A75)</f>
        <v/>
      </c>
      <c r="D672" s="0" t="str">
        <f aca="false">IF(B672="","",Documenti!B75)</f>
        <v/>
      </c>
      <c r="E672" s="0" t="str">
        <f aca="false">IF(B672="","","Documento")</f>
        <v/>
      </c>
      <c r="F672" s="0" t="str">
        <f aca="true">IF(B672="","",IF(B672&lt;TODAY(),B672+ROW()/100000,""))</f>
        <v/>
      </c>
    </row>
    <row r="673" customFormat="false" ht="15" hidden="false" customHeight="false" outlineLevel="0" collapsed="false">
      <c r="A673" s="0" t="str">
        <f aca="true">IF(B673="","",IF(B673&gt;=TODAY(),B673+ROW()/100000,""))</f>
        <v/>
      </c>
      <c r="B673" s="0" t="str">
        <f aca="false">IF(Documenti!C76="","",IF(Documenti!D76&lt;=90,Documenti!C76,""))</f>
        <v/>
      </c>
      <c r="C673" s="0" t="str">
        <f aca="false">IF(B673="","","Rinnovo · "&amp;Documenti!A76)</f>
        <v/>
      </c>
      <c r="D673" s="0" t="str">
        <f aca="false">IF(B673="","",Documenti!B76)</f>
        <v/>
      </c>
      <c r="E673" s="0" t="str">
        <f aca="false">IF(B673="","","Documento")</f>
        <v/>
      </c>
      <c r="F673" s="0" t="str">
        <f aca="true">IF(B673="","",IF(B673&lt;TODAY(),B673+ROW()/100000,""))</f>
        <v/>
      </c>
    </row>
    <row r="674" customFormat="false" ht="15" hidden="false" customHeight="false" outlineLevel="0" collapsed="false">
      <c r="A674" s="0" t="str">
        <f aca="true">IF(B674="","",IF(B674&gt;=TODAY(),B674+ROW()/100000,""))</f>
        <v/>
      </c>
      <c r="B674" s="0" t="str">
        <f aca="false">IF(Documenti!C77="","",IF(Documenti!D77&lt;=90,Documenti!C77,""))</f>
        <v/>
      </c>
      <c r="C674" s="0" t="str">
        <f aca="false">IF(B674="","","Rinnovo · "&amp;Documenti!A77)</f>
        <v/>
      </c>
      <c r="D674" s="0" t="str">
        <f aca="false">IF(B674="","",Documenti!B77)</f>
        <v/>
      </c>
      <c r="E674" s="0" t="str">
        <f aca="false">IF(B674="","","Documento")</f>
        <v/>
      </c>
      <c r="F674" s="0" t="str">
        <f aca="true">IF(B674="","",IF(B674&lt;TODAY(),B674+ROW()/100000,""))</f>
        <v/>
      </c>
    </row>
    <row r="675" customFormat="false" ht="15" hidden="false" customHeight="false" outlineLevel="0" collapsed="false">
      <c r="A675" s="0" t="str">
        <f aca="true">IF(B675="","",IF(B675&gt;=TODAY(),B675+ROW()/100000,""))</f>
        <v/>
      </c>
      <c r="B675" s="0" t="str">
        <f aca="false">IF(Documenti!C78="","",IF(Documenti!D78&lt;=90,Documenti!C78,""))</f>
        <v/>
      </c>
      <c r="C675" s="0" t="str">
        <f aca="false">IF(B675="","","Rinnovo · "&amp;Documenti!A78)</f>
        <v/>
      </c>
      <c r="D675" s="0" t="str">
        <f aca="false">IF(B675="","",Documenti!B78)</f>
        <v/>
      </c>
      <c r="E675" s="0" t="str">
        <f aca="false">IF(B675="","","Documento")</f>
        <v/>
      </c>
      <c r="F675" s="0" t="str">
        <f aca="true">IF(B675="","",IF(B675&lt;TODAY(),B675+ROW()/100000,""))</f>
        <v/>
      </c>
    </row>
    <row r="676" customFormat="false" ht="15" hidden="false" customHeight="false" outlineLevel="0" collapsed="false">
      <c r="A676" s="0" t="str">
        <f aca="true">IF(B676="","",IF(B676&gt;=TODAY(),B676+ROW()/100000,""))</f>
        <v/>
      </c>
      <c r="B676" s="0" t="str">
        <f aca="false">IF(Documenti!C79="","",IF(Documenti!D79&lt;=90,Documenti!C79,""))</f>
        <v/>
      </c>
      <c r="C676" s="0" t="str">
        <f aca="false">IF(B676="","","Rinnovo · "&amp;Documenti!A79)</f>
        <v/>
      </c>
      <c r="D676" s="0" t="str">
        <f aca="false">IF(B676="","",Documenti!B79)</f>
        <v/>
      </c>
      <c r="E676" s="0" t="str">
        <f aca="false">IF(B676="","","Documento")</f>
        <v/>
      </c>
      <c r="F676" s="0" t="str">
        <f aca="true">IF(B676="","",IF(B676&lt;TODAY(),B676+ROW()/100000,""))</f>
        <v/>
      </c>
    </row>
    <row r="677" customFormat="false" ht="15" hidden="false" customHeight="false" outlineLevel="0" collapsed="false">
      <c r="A677" s="0" t="str">
        <f aca="true">IF(B677="","",IF(B677&gt;=TODAY(),B677+ROW()/100000,""))</f>
        <v/>
      </c>
      <c r="B677" s="0" t="str">
        <f aca="false">IF(Documenti!C80="","",IF(Documenti!D80&lt;=90,Documenti!C80,""))</f>
        <v/>
      </c>
      <c r="C677" s="0" t="str">
        <f aca="false">IF(B677="","","Rinnovo · "&amp;Documenti!A80)</f>
        <v/>
      </c>
      <c r="D677" s="0" t="str">
        <f aca="false">IF(B677="","",Documenti!B80)</f>
        <v/>
      </c>
      <c r="E677" s="0" t="str">
        <f aca="false">IF(B677="","","Documento")</f>
        <v/>
      </c>
      <c r="F677" s="0" t="str">
        <f aca="true">IF(B677="","",IF(B677&lt;TODAY(),B677+ROW()/100000,""))</f>
        <v/>
      </c>
    </row>
    <row r="678" customFormat="false" ht="15" hidden="false" customHeight="false" outlineLevel="0" collapsed="false">
      <c r="A678" s="0" t="str">
        <f aca="true">IF(B678="","",IF(B678&gt;=TODAY(),B678+ROW()/100000,""))</f>
        <v/>
      </c>
      <c r="B678" s="0" t="str">
        <f aca="false">IF(Documenti!C81="","",IF(Documenti!D81&lt;=90,Documenti!C81,""))</f>
        <v/>
      </c>
      <c r="C678" s="0" t="str">
        <f aca="false">IF(B678="","","Rinnovo · "&amp;Documenti!A81)</f>
        <v/>
      </c>
      <c r="D678" s="0" t="str">
        <f aca="false">IF(B678="","",Documenti!B81)</f>
        <v/>
      </c>
      <c r="E678" s="0" t="str">
        <f aca="false">IF(B678="","","Documento")</f>
        <v/>
      </c>
      <c r="F678" s="0" t="str">
        <f aca="true">IF(B678="","",IF(B678&lt;TODAY(),B678+ROW()/100000,""))</f>
        <v/>
      </c>
    </row>
    <row r="679" customFormat="false" ht="15" hidden="false" customHeight="false" outlineLevel="0" collapsed="false">
      <c r="A679" s="0" t="str">
        <f aca="true">IF(B679="","",IF(B679&gt;=TODAY(),B679+ROW()/100000,""))</f>
        <v/>
      </c>
      <c r="B679" s="0" t="str">
        <f aca="false">IF(Documenti!C82="","",IF(Documenti!D82&lt;=90,Documenti!C82,""))</f>
        <v/>
      </c>
      <c r="C679" s="0" t="str">
        <f aca="false">IF(B679="","","Rinnovo · "&amp;Documenti!A82)</f>
        <v/>
      </c>
      <c r="D679" s="0" t="str">
        <f aca="false">IF(B679="","",Documenti!B82)</f>
        <v/>
      </c>
      <c r="E679" s="0" t="str">
        <f aca="false">IF(B679="","","Documento")</f>
        <v/>
      </c>
      <c r="F679" s="0" t="str">
        <f aca="true">IF(B679="","",IF(B679&lt;TODAY(),B679+ROW()/100000,""))</f>
        <v/>
      </c>
    </row>
    <row r="680" customFormat="false" ht="15" hidden="false" customHeight="false" outlineLevel="0" collapsed="false">
      <c r="A680" s="0" t="str">
        <f aca="true">IF(B680="","",IF(B680&gt;=TODAY(),B680+ROW()/100000,""))</f>
        <v/>
      </c>
      <c r="B680" s="0" t="str">
        <f aca="false">IF(Documenti!C83="","",IF(Documenti!D83&lt;=90,Documenti!C83,""))</f>
        <v/>
      </c>
      <c r="C680" s="0" t="str">
        <f aca="false">IF(B680="","","Rinnovo · "&amp;Documenti!A83)</f>
        <v/>
      </c>
      <c r="D680" s="0" t="str">
        <f aca="false">IF(B680="","",Documenti!B83)</f>
        <v/>
      </c>
      <c r="E680" s="0" t="str">
        <f aca="false">IF(B680="","","Documento")</f>
        <v/>
      </c>
      <c r="F680" s="0" t="str">
        <f aca="true">IF(B680="","",IF(B680&lt;TODAY(),B680+ROW()/100000,""))</f>
        <v/>
      </c>
    </row>
    <row r="681" customFormat="false" ht="15" hidden="false" customHeight="false" outlineLevel="0" collapsed="false">
      <c r="A681" s="0" t="str">
        <f aca="true">IF(B681="","",IF(B681&gt;=TODAY(),B681+ROW()/100000,""))</f>
        <v/>
      </c>
      <c r="B681" s="0" t="str">
        <f aca="false">IF(Documenti!C84="","",IF(Documenti!D84&lt;=90,Documenti!C84,""))</f>
        <v/>
      </c>
      <c r="C681" s="0" t="str">
        <f aca="false">IF(B681="","","Rinnovo · "&amp;Documenti!A84)</f>
        <v/>
      </c>
      <c r="D681" s="0" t="str">
        <f aca="false">IF(B681="","",Documenti!B84)</f>
        <v/>
      </c>
      <c r="E681" s="0" t="str">
        <f aca="false">IF(B681="","","Documento")</f>
        <v/>
      </c>
      <c r="F681" s="0" t="str">
        <f aca="true">IF(B681="","",IF(B681&lt;TODAY(),B681+ROW()/100000,""))</f>
        <v/>
      </c>
    </row>
    <row r="682" customFormat="false" ht="15" hidden="false" customHeight="false" outlineLevel="0" collapsed="false">
      <c r="A682" s="0" t="str">
        <f aca="true">IF(B682="","",IF(B682&gt;=TODAY(),B682+ROW()/100000,""))</f>
        <v/>
      </c>
      <c r="B682" s="0" t="str">
        <f aca="false">IF(Documenti!C85="","",IF(Documenti!D85&lt;=90,Documenti!C85,""))</f>
        <v/>
      </c>
      <c r="C682" s="0" t="str">
        <f aca="false">IF(B682="","","Rinnovo · "&amp;Documenti!A85)</f>
        <v/>
      </c>
      <c r="D682" s="0" t="str">
        <f aca="false">IF(B682="","",Documenti!B85)</f>
        <v/>
      </c>
      <c r="E682" s="0" t="str">
        <f aca="false">IF(B682="","","Documento")</f>
        <v/>
      </c>
      <c r="F682" s="0" t="str">
        <f aca="true">IF(B682="","",IF(B682&lt;TODAY(),B682+ROW()/100000,""))</f>
        <v/>
      </c>
    </row>
    <row r="683" customFormat="false" ht="15" hidden="false" customHeight="false" outlineLevel="0" collapsed="false">
      <c r="A683" s="0" t="str">
        <f aca="true">IF(B683="","",IF(B683&gt;=TODAY(),B683+ROW()/100000,""))</f>
        <v/>
      </c>
      <c r="B683" s="0" t="str">
        <f aca="false">IF(Documenti!C86="","",IF(Documenti!D86&lt;=90,Documenti!C86,""))</f>
        <v/>
      </c>
      <c r="C683" s="0" t="str">
        <f aca="false">IF(B683="","","Rinnovo · "&amp;Documenti!A86)</f>
        <v/>
      </c>
      <c r="D683" s="0" t="str">
        <f aca="false">IF(B683="","",Documenti!B86)</f>
        <v/>
      </c>
      <c r="E683" s="0" t="str">
        <f aca="false">IF(B683="","","Documento")</f>
        <v/>
      </c>
      <c r="F683" s="0" t="str">
        <f aca="true">IF(B683="","",IF(B683&lt;TODAY(),B683+ROW()/100000,""))</f>
        <v/>
      </c>
    </row>
    <row r="684" customFormat="false" ht="15" hidden="false" customHeight="false" outlineLevel="0" collapsed="false">
      <c r="A684" s="0" t="str">
        <f aca="true">IF(B684="","",IF(B684&gt;=TODAY(),B684+ROW()/100000,""))</f>
        <v/>
      </c>
      <c r="B684" s="0" t="str">
        <f aca="false">IF(Documenti!C87="","",IF(Documenti!D87&lt;=90,Documenti!C87,""))</f>
        <v/>
      </c>
      <c r="C684" s="0" t="str">
        <f aca="false">IF(B684="","","Rinnovo · "&amp;Documenti!A87)</f>
        <v/>
      </c>
      <c r="D684" s="0" t="str">
        <f aca="false">IF(B684="","",Documenti!B87)</f>
        <v/>
      </c>
      <c r="E684" s="0" t="str">
        <f aca="false">IF(B684="","","Documento")</f>
        <v/>
      </c>
      <c r="F684" s="0" t="str">
        <f aca="true">IF(B684="","",IF(B684&lt;TODAY(),B684+ROW()/100000,""))</f>
        <v/>
      </c>
    </row>
    <row r="685" customFormat="false" ht="15" hidden="false" customHeight="false" outlineLevel="0" collapsed="false">
      <c r="A685" s="0" t="str">
        <f aca="true">IF(B685="","",IF(B685&gt;=TODAY(),B685+ROW()/100000,""))</f>
        <v/>
      </c>
      <c r="B685" s="0" t="str">
        <f aca="false">IF(Documenti!C88="","",IF(Documenti!D88&lt;=90,Documenti!C88,""))</f>
        <v/>
      </c>
      <c r="C685" s="0" t="str">
        <f aca="false">IF(B685="","","Rinnovo · "&amp;Documenti!A88)</f>
        <v/>
      </c>
      <c r="D685" s="0" t="str">
        <f aca="false">IF(B685="","",Documenti!B88)</f>
        <v/>
      </c>
      <c r="E685" s="0" t="str">
        <f aca="false">IF(B685="","","Documento")</f>
        <v/>
      </c>
      <c r="F685" s="0" t="str">
        <f aca="true">IF(B685="","",IF(B685&lt;TODAY(),B685+ROW()/100000,""))</f>
        <v/>
      </c>
    </row>
    <row r="686" customFormat="false" ht="15" hidden="false" customHeight="false" outlineLevel="0" collapsed="false">
      <c r="A686" s="0" t="str">
        <f aca="true">IF(B686="","",IF(B686&gt;=TODAY(),B686+ROW()/100000,""))</f>
        <v/>
      </c>
      <c r="B686" s="0" t="str">
        <f aca="false">IF(Documenti!C89="","",IF(Documenti!D89&lt;=90,Documenti!C89,""))</f>
        <v/>
      </c>
      <c r="C686" s="0" t="str">
        <f aca="false">IF(B686="","","Rinnovo · "&amp;Documenti!A89)</f>
        <v/>
      </c>
      <c r="D686" s="0" t="str">
        <f aca="false">IF(B686="","",Documenti!B89)</f>
        <v/>
      </c>
      <c r="E686" s="0" t="str">
        <f aca="false">IF(B686="","","Documento")</f>
        <v/>
      </c>
      <c r="F686" s="0" t="str">
        <f aca="true">IF(B686="","",IF(B686&lt;TODAY(),B686+ROW()/100000,""))</f>
        <v/>
      </c>
    </row>
    <row r="687" customFormat="false" ht="15" hidden="false" customHeight="false" outlineLevel="0" collapsed="false">
      <c r="A687" s="0" t="str">
        <f aca="true">IF(B687="","",IF(B687&gt;=TODAY(),B687+ROW()/100000,""))</f>
        <v/>
      </c>
      <c r="B687" s="0" t="str">
        <f aca="false">IF(Documenti!C90="","",IF(Documenti!D90&lt;=90,Documenti!C90,""))</f>
        <v/>
      </c>
      <c r="C687" s="0" t="str">
        <f aca="false">IF(B687="","","Rinnovo · "&amp;Documenti!A90)</f>
        <v/>
      </c>
      <c r="D687" s="0" t="str">
        <f aca="false">IF(B687="","",Documenti!B90)</f>
        <v/>
      </c>
      <c r="E687" s="0" t="str">
        <f aca="false">IF(B687="","","Documento")</f>
        <v/>
      </c>
      <c r="F687" s="0" t="str">
        <f aca="true">IF(B687="","",IF(B687&lt;TODAY(),B687+ROW()/100000,""))</f>
        <v/>
      </c>
    </row>
    <row r="688" customFormat="false" ht="15" hidden="false" customHeight="false" outlineLevel="0" collapsed="false">
      <c r="A688" s="0" t="str">
        <f aca="true">IF(B688="","",IF(B688&gt;=TODAY(),B688+ROW()/100000,""))</f>
        <v/>
      </c>
      <c r="B688" s="0" t="str">
        <f aca="false">IF(Documenti!C91="","",IF(Documenti!D91&lt;=90,Documenti!C91,""))</f>
        <v/>
      </c>
      <c r="C688" s="0" t="str">
        <f aca="false">IF(B688="","","Rinnovo · "&amp;Documenti!A91)</f>
        <v/>
      </c>
      <c r="D688" s="0" t="str">
        <f aca="false">IF(B688="","",Documenti!B91)</f>
        <v/>
      </c>
      <c r="E688" s="0" t="str">
        <f aca="false">IF(B688="","","Documento")</f>
        <v/>
      </c>
      <c r="F688" s="0" t="str">
        <f aca="true">IF(B688="","",IF(B688&lt;TODAY(),B688+ROW()/100000,""))</f>
        <v/>
      </c>
    </row>
    <row r="689" customFormat="false" ht="15" hidden="false" customHeight="false" outlineLevel="0" collapsed="false">
      <c r="A689" s="0" t="str">
        <f aca="true">IF(B689="","",IF(B689&gt;=TODAY(),B689+ROW()/100000,""))</f>
        <v/>
      </c>
      <c r="B689" s="0" t="str">
        <f aca="false">IF(Documenti!C92="","",IF(Documenti!D92&lt;=90,Documenti!C92,""))</f>
        <v/>
      </c>
      <c r="C689" s="0" t="str">
        <f aca="false">IF(B689="","","Rinnovo · "&amp;Documenti!A92)</f>
        <v/>
      </c>
      <c r="D689" s="0" t="str">
        <f aca="false">IF(B689="","",Documenti!B92)</f>
        <v/>
      </c>
      <c r="E689" s="0" t="str">
        <f aca="false">IF(B689="","","Documento")</f>
        <v/>
      </c>
      <c r="F689" s="0" t="str">
        <f aca="true">IF(B689="","",IF(B689&lt;TODAY(),B689+ROW()/100000,""))</f>
        <v/>
      </c>
    </row>
    <row r="690" customFormat="false" ht="15" hidden="false" customHeight="false" outlineLevel="0" collapsed="false">
      <c r="A690" s="0" t="str">
        <f aca="true">IF(B690="","",IF(B690&gt;=TODAY(),B690+ROW()/100000,""))</f>
        <v/>
      </c>
      <c r="B690" s="0" t="str">
        <f aca="false">IF(Documenti!C93="","",IF(Documenti!D93&lt;=90,Documenti!C93,""))</f>
        <v/>
      </c>
      <c r="C690" s="0" t="str">
        <f aca="false">IF(B690="","","Rinnovo · "&amp;Documenti!A93)</f>
        <v/>
      </c>
      <c r="D690" s="0" t="str">
        <f aca="false">IF(B690="","",Documenti!B93)</f>
        <v/>
      </c>
      <c r="E690" s="0" t="str">
        <f aca="false">IF(B690="","","Documento")</f>
        <v/>
      </c>
      <c r="F690" s="0" t="str">
        <f aca="true">IF(B690="","",IF(B690&lt;TODAY(),B690+ROW()/100000,""))</f>
        <v/>
      </c>
    </row>
    <row r="691" customFormat="false" ht="15" hidden="false" customHeight="false" outlineLevel="0" collapsed="false">
      <c r="A691" s="0" t="str">
        <f aca="true">IF(B691="","",IF(B691&gt;=TODAY(),B691+ROW()/100000,""))</f>
        <v/>
      </c>
      <c r="B691" s="0" t="str">
        <f aca="false">IF(Documenti!C94="","",IF(Documenti!D94&lt;=90,Documenti!C94,""))</f>
        <v/>
      </c>
      <c r="C691" s="0" t="str">
        <f aca="false">IF(B691="","","Rinnovo · "&amp;Documenti!A94)</f>
        <v/>
      </c>
      <c r="D691" s="0" t="str">
        <f aca="false">IF(B691="","",Documenti!B94)</f>
        <v/>
      </c>
      <c r="E691" s="0" t="str">
        <f aca="false">IF(B691="","","Documento")</f>
        <v/>
      </c>
      <c r="F691" s="0" t="str">
        <f aca="true">IF(B691="","",IF(B691&lt;TODAY(),B691+ROW()/100000,""))</f>
        <v/>
      </c>
    </row>
    <row r="692" customFormat="false" ht="15" hidden="false" customHeight="false" outlineLevel="0" collapsed="false">
      <c r="A692" s="0" t="str">
        <f aca="true">IF(B692="","",IF(B692&gt;=TODAY(),B692+ROW()/100000,""))</f>
        <v/>
      </c>
      <c r="B692" s="0" t="str">
        <f aca="false">IF(Documenti!C95="","",IF(Documenti!D95&lt;=90,Documenti!C95,""))</f>
        <v/>
      </c>
      <c r="C692" s="0" t="str">
        <f aca="false">IF(B692="","","Rinnovo · "&amp;Documenti!A95)</f>
        <v/>
      </c>
      <c r="D692" s="0" t="str">
        <f aca="false">IF(B692="","",Documenti!B95)</f>
        <v/>
      </c>
      <c r="E692" s="0" t="str">
        <f aca="false">IF(B692="","","Documento")</f>
        <v/>
      </c>
      <c r="F692" s="0" t="str">
        <f aca="true">IF(B692="","",IF(B692&lt;TODAY(),B692+ROW()/100000,""))</f>
        <v/>
      </c>
    </row>
    <row r="693" customFormat="false" ht="15" hidden="false" customHeight="false" outlineLevel="0" collapsed="false">
      <c r="A693" s="0" t="str">
        <f aca="true">IF(B693="","",IF(B693&gt;=TODAY(),B693+ROW()/100000,""))</f>
        <v/>
      </c>
      <c r="B693" s="0" t="str">
        <f aca="false">IF(Documenti!C96="","",IF(Documenti!D96&lt;=90,Documenti!C96,""))</f>
        <v/>
      </c>
      <c r="C693" s="0" t="str">
        <f aca="false">IF(B693="","","Rinnovo · "&amp;Documenti!A96)</f>
        <v/>
      </c>
      <c r="D693" s="0" t="str">
        <f aca="false">IF(B693="","",Documenti!B96)</f>
        <v/>
      </c>
      <c r="E693" s="0" t="str">
        <f aca="false">IF(B693="","","Documento")</f>
        <v/>
      </c>
      <c r="F693" s="0" t="str">
        <f aca="true">IF(B693="","",IF(B693&lt;TODAY(),B693+ROW()/100000,""))</f>
        <v/>
      </c>
    </row>
    <row r="694" customFormat="false" ht="15" hidden="false" customHeight="false" outlineLevel="0" collapsed="false">
      <c r="A694" s="0" t="str">
        <f aca="true">IF(B694="","",IF(B694&gt;=TODAY(),B694+ROW()/100000,""))</f>
        <v/>
      </c>
      <c r="B694" s="0" t="str">
        <f aca="false">IF(Documenti!C97="","",IF(Documenti!D97&lt;=90,Documenti!C97,""))</f>
        <v/>
      </c>
      <c r="C694" s="0" t="str">
        <f aca="false">IF(B694="","","Rinnovo · "&amp;Documenti!A97)</f>
        <v/>
      </c>
      <c r="D694" s="0" t="str">
        <f aca="false">IF(B694="","",Documenti!B97)</f>
        <v/>
      </c>
      <c r="E694" s="0" t="str">
        <f aca="false">IF(B694="","","Documento")</f>
        <v/>
      </c>
      <c r="F694" s="0" t="str">
        <f aca="true">IF(B694="","",IF(B694&lt;TODAY(),B694+ROW()/100000,""))</f>
        <v/>
      </c>
    </row>
    <row r="695" customFormat="false" ht="15" hidden="false" customHeight="false" outlineLevel="0" collapsed="false">
      <c r="A695" s="0" t="str">
        <f aca="true">IF(B695="","",IF(B695&gt;=TODAY(),B695+ROW()/100000,""))</f>
        <v/>
      </c>
      <c r="B695" s="0" t="str">
        <f aca="false">IF(Documenti!C98="","",IF(Documenti!D98&lt;=90,Documenti!C98,""))</f>
        <v/>
      </c>
      <c r="C695" s="0" t="str">
        <f aca="false">IF(B695="","","Rinnovo · "&amp;Documenti!A98)</f>
        <v/>
      </c>
      <c r="D695" s="0" t="str">
        <f aca="false">IF(B695="","",Documenti!B98)</f>
        <v/>
      </c>
      <c r="E695" s="0" t="str">
        <f aca="false">IF(B695="","","Documento")</f>
        <v/>
      </c>
      <c r="F695" s="0" t="str">
        <f aca="true">IF(B695="","",IF(B695&lt;TODAY(),B695+ROW()/100000,""))</f>
        <v/>
      </c>
    </row>
    <row r="696" customFormat="false" ht="15" hidden="false" customHeight="false" outlineLevel="0" collapsed="false">
      <c r="A696" s="0" t="str">
        <f aca="true">IF(B696="","",IF(B696&gt;=TODAY(),B696+ROW()/100000,""))</f>
        <v/>
      </c>
      <c r="B696" s="0" t="str">
        <f aca="false">IF(Documenti!C99="","",IF(Documenti!D99&lt;=90,Documenti!C99,""))</f>
        <v/>
      </c>
      <c r="C696" s="0" t="str">
        <f aca="false">IF(B696="","","Rinnovo · "&amp;Documenti!A99)</f>
        <v/>
      </c>
      <c r="D696" s="0" t="str">
        <f aca="false">IF(B696="","",Documenti!B99)</f>
        <v/>
      </c>
      <c r="E696" s="0" t="str">
        <f aca="false">IF(B696="","","Documento")</f>
        <v/>
      </c>
      <c r="F696" s="0" t="str">
        <f aca="true">IF(B696="","",IF(B696&lt;TODAY(),B696+ROW()/100000,""))</f>
        <v/>
      </c>
    </row>
    <row r="697" customFormat="false" ht="15" hidden="false" customHeight="false" outlineLevel="0" collapsed="false">
      <c r="A697" s="0" t="str">
        <f aca="true">IF(B697="","",IF(B697&gt;=TODAY(),B697+ROW()/100000,""))</f>
        <v/>
      </c>
      <c r="B697" s="0" t="str">
        <f aca="false">IF(Documenti!C100="","",IF(Documenti!D100&lt;=90,Documenti!C100,""))</f>
        <v/>
      </c>
      <c r="C697" s="0" t="str">
        <f aca="false">IF(B697="","","Rinnovo · "&amp;Documenti!A100)</f>
        <v/>
      </c>
      <c r="D697" s="0" t="str">
        <f aca="false">IF(B697="","",Documenti!B100)</f>
        <v/>
      </c>
      <c r="E697" s="0" t="str">
        <f aca="false">IF(B697="","","Documento")</f>
        <v/>
      </c>
      <c r="F697" s="0" t="str">
        <f aca="true">IF(B697="","",IF(B697&lt;TODAY(),B697+ROW()/100000,""))</f>
        <v/>
      </c>
    </row>
    <row r="698" customFormat="false" ht="15" hidden="false" customHeight="false" outlineLevel="0" collapsed="false">
      <c r="A698" s="0" t="str">
        <f aca="true">IF(B698="","",IF(B698&gt;=TODAY(),B698+ROW()/100000,""))</f>
        <v/>
      </c>
      <c r="B698" s="0" t="str">
        <f aca="false">IF(Documenti!C101="","",IF(Documenti!D101&lt;=90,Documenti!C101,""))</f>
        <v/>
      </c>
      <c r="C698" s="0" t="str">
        <f aca="false">IF(B698="","","Rinnovo · "&amp;Documenti!A101)</f>
        <v/>
      </c>
      <c r="D698" s="0" t="str">
        <f aca="false">IF(B698="","",Documenti!B101)</f>
        <v/>
      </c>
      <c r="E698" s="0" t="str">
        <f aca="false">IF(B698="","","Documento")</f>
        <v/>
      </c>
      <c r="F698" s="0" t="str">
        <f aca="true">IF(B698="","",IF(B698&lt;TODAY(),B698+ROW()/100000,""))</f>
        <v/>
      </c>
    </row>
    <row r="699" customFormat="false" ht="15" hidden="false" customHeight="false" outlineLevel="0" collapsed="false">
      <c r="A699" s="0" t="str">
        <f aca="true">IF(B699="","",IF(B699&gt;=TODAY(),B699+ROW()/100000,""))</f>
        <v/>
      </c>
      <c r="B699" s="0" t="str">
        <f aca="false">IF(Documenti!C102="","",IF(Documenti!D102&lt;=90,Documenti!C102,""))</f>
        <v/>
      </c>
      <c r="C699" s="0" t="str">
        <f aca="false">IF(B699="","","Rinnovo · "&amp;Documenti!A102)</f>
        <v/>
      </c>
      <c r="D699" s="0" t="str">
        <f aca="false">IF(B699="","",Documenti!B102)</f>
        <v/>
      </c>
      <c r="E699" s="0" t="str">
        <f aca="false">IF(B699="","","Documento")</f>
        <v/>
      </c>
      <c r="F699" s="0" t="str">
        <f aca="true">IF(B699="","",IF(B699&lt;TODAY(),B699+ROW()/100000,""))</f>
        <v/>
      </c>
    </row>
    <row r="700" customFormat="false" ht="15" hidden="false" customHeight="false" outlineLevel="0" collapsed="false">
      <c r="A700" s="0" t="str">
        <f aca="true">IF(B700="","",IF(B700&gt;=TODAY(),B700+ROW()/100000,""))</f>
        <v/>
      </c>
      <c r="B700" s="0" t="str">
        <f aca="false">IF(Documenti!C103="","",IF(Documenti!D103&lt;=90,Documenti!C103,""))</f>
        <v/>
      </c>
      <c r="C700" s="0" t="str">
        <f aca="false">IF(B700="","","Rinnovo · "&amp;Documenti!A103)</f>
        <v/>
      </c>
      <c r="D700" s="0" t="str">
        <f aca="false">IF(B700="","",Documenti!B103)</f>
        <v/>
      </c>
      <c r="E700" s="0" t="str">
        <f aca="false">IF(B700="","","Documento")</f>
        <v/>
      </c>
      <c r="F700" s="0" t="str">
        <f aca="true">IF(B700="","",IF(B700&lt;TODAY(),B700+ROW()/100000,""))</f>
        <v/>
      </c>
    </row>
    <row r="701" customFormat="false" ht="15" hidden="false" customHeight="false" outlineLevel="0" collapsed="false">
      <c r="A701" s="0" t="str">
        <f aca="true">IF(B701="","",IF(B701&gt;=TODAY(),B701+ROW()/100000,""))</f>
        <v/>
      </c>
      <c r="B701" s="0" t="str">
        <f aca="false">IF(Documenti!C104="","",IF(Documenti!D104&lt;=90,Documenti!C104,""))</f>
        <v/>
      </c>
      <c r="C701" s="0" t="str">
        <f aca="false">IF(B701="","","Rinnovo · "&amp;Documenti!A104)</f>
        <v/>
      </c>
      <c r="D701" s="0" t="str">
        <f aca="false">IF(B701="","",Documenti!B104)</f>
        <v/>
      </c>
      <c r="E701" s="0" t="str">
        <f aca="false">IF(B701="","","Documento")</f>
        <v/>
      </c>
      <c r="F701" s="0" t="str">
        <f aca="true">IF(B701="","",IF(B701&lt;TODAY(),B701+ROW()/100000,""))</f>
        <v/>
      </c>
    </row>
    <row r="702" customFormat="false" ht="15" hidden="false" customHeight="false" outlineLevel="0" collapsed="false">
      <c r="A702" s="0" t="str">
        <f aca="true">IF(B702="","",IF(B702&gt;=TODAY(),B702+ROW()/100000,""))</f>
        <v/>
      </c>
      <c r="B702" s="0" t="str">
        <f aca="false">IF(Documenti!C105="","",IF(Documenti!D105&lt;=90,Documenti!C105,""))</f>
        <v/>
      </c>
      <c r="C702" s="0" t="str">
        <f aca="false">IF(B702="","","Rinnovo · "&amp;Documenti!A105)</f>
        <v/>
      </c>
      <c r="D702" s="0" t="str">
        <f aca="false">IF(B702="","",Documenti!B105)</f>
        <v/>
      </c>
      <c r="E702" s="0" t="str">
        <f aca="false">IF(B702="","","Documento")</f>
        <v/>
      </c>
      <c r="F702" s="0" t="str">
        <f aca="true">IF(B702="","",IF(B702&lt;TODAY(),B702+ROW()/100000,""))</f>
        <v/>
      </c>
    </row>
    <row r="703" customFormat="false" ht="15" hidden="false" customHeight="false" outlineLevel="0" collapsed="false">
      <c r="A703" s="0" t="str">
        <f aca="true">IF(B703="","",IF(B703&gt;=TODAY(),B703+ROW()/100000,""))</f>
        <v/>
      </c>
      <c r="B703" s="0" t="str">
        <f aca="false">IF(Documenti!C106="","",IF(Documenti!D106&lt;=90,Documenti!C106,""))</f>
        <v/>
      </c>
      <c r="C703" s="0" t="str">
        <f aca="false">IF(B703="","","Rinnovo · "&amp;Documenti!A106)</f>
        <v/>
      </c>
      <c r="D703" s="0" t="str">
        <f aca="false">IF(B703="","",Documenti!B106)</f>
        <v/>
      </c>
      <c r="E703" s="0" t="str">
        <f aca="false">IF(B703="","","Documento")</f>
        <v/>
      </c>
      <c r="F703" s="0" t="str">
        <f aca="true">IF(B703="","",IF(B703&lt;TODAY(),B703+ROW()/100000,""))</f>
        <v/>
      </c>
    </row>
    <row r="704" customFormat="false" ht="15" hidden="false" customHeight="false" outlineLevel="0" collapsed="false">
      <c r="A704" s="0" t="str">
        <f aca="true">IF(B704="","",IF(B704&gt;=TODAY(),B704+ROW()/100000,""))</f>
        <v/>
      </c>
      <c r="B704" s="0" t="str">
        <f aca="false">IF(Documenti!C107="","",IF(Documenti!D107&lt;=90,Documenti!C107,""))</f>
        <v/>
      </c>
      <c r="C704" s="0" t="str">
        <f aca="false">IF(B704="","","Rinnovo · "&amp;Documenti!A107)</f>
        <v/>
      </c>
      <c r="D704" s="0" t="str">
        <f aca="false">IF(B704="","",Documenti!B107)</f>
        <v/>
      </c>
      <c r="E704" s="0" t="str">
        <f aca="false">IF(B704="","","Documento")</f>
        <v/>
      </c>
      <c r="F704" s="0" t="str">
        <f aca="true">IF(B704="","",IF(B704&lt;TODAY(),B704+ROW()/100000,""))</f>
        <v/>
      </c>
    </row>
    <row r="705" customFormat="false" ht="15" hidden="false" customHeight="false" outlineLevel="0" collapsed="false">
      <c r="A705" s="0" t="str">
        <f aca="true">IF(B705="","",IF(B705&gt;=TODAY(),B705+ROW()/100000,""))</f>
        <v/>
      </c>
      <c r="B705" s="0" t="str">
        <f aca="false">IF(Documenti!C108="","",IF(Documenti!D108&lt;=90,Documenti!C108,""))</f>
        <v/>
      </c>
      <c r="C705" s="0" t="str">
        <f aca="false">IF(B705="","","Rinnovo · "&amp;Documenti!A108)</f>
        <v/>
      </c>
      <c r="D705" s="0" t="str">
        <f aca="false">IF(B705="","",Documenti!B108)</f>
        <v/>
      </c>
      <c r="E705" s="0" t="str">
        <f aca="false">IF(B705="","","Documento")</f>
        <v/>
      </c>
      <c r="F705" s="0" t="str">
        <f aca="true">IF(B705="","",IF(B705&lt;TODAY(),B705+ROW()/100000,""))</f>
        <v/>
      </c>
    </row>
    <row r="706" customFormat="false" ht="15" hidden="false" customHeight="false" outlineLevel="0" collapsed="false">
      <c r="A706" s="0" t="str">
        <f aca="true">IF(B706="","",IF(B706&gt;=TODAY(),B706+ROW()/100000,""))</f>
        <v/>
      </c>
      <c r="B706" s="0" t="str">
        <f aca="false">IF(Documenti!C109="","",IF(Documenti!D109&lt;=90,Documenti!C109,""))</f>
        <v/>
      </c>
      <c r="C706" s="0" t="str">
        <f aca="false">IF(B706="","","Rinnovo · "&amp;Documenti!A109)</f>
        <v/>
      </c>
      <c r="D706" s="0" t="str">
        <f aca="false">IF(B706="","",Documenti!B109)</f>
        <v/>
      </c>
      <c r="E706" s="0" t="str">
        <f aca="false">IF(B706="","","Documento")</f>
        <v/>
      </c>
      <c r="F706" s="0" t="str">
        <f aca="true">IF(B706="","",IF(B706&lt;TODAY(),B706+ROW()/100000,""))</f>
        <v/>
      </c>
    </row>
    <row r="707" customFormat="false" ht="15" hidden="false" customHeight="false" outlineLevel="0" collapsed="false">
      <c r="A707" s="0" t="str">
        <f aca="true">IF(B707="","",IF(B707&gt;=TODAY(),B707+ROW()/100000,""))</f>
        <v/>
      </c>
      <c r="B707" s="0" t="str">
        <f aca="false">IF(Documenti!C110="","",IF(Documenti!D110&lt;=90,Documenti!C110,""))</f>
        <v/>
      </c>
      <c r="C707" s="0" t="str">
        <f aca="false">IF(B707="","","Rinnovo · "&amp;Documenti!A110)</f>
        <v/>
      </c>
      <c r="D707" s="0" t="str">
        <f aca="false">IF(B707="","",Documenti!B110)</f>
        <v/>
      </c>
      <c r="E707" s="0" t="str">
        <f aca="false">IF(B707="","","Documento")</f>
        <v/>
      </c>
      <c r="F707" s="0" t="str">
        <f aca="true">IF(B707="","",IF(B707&lt;TODAY(),B707+ROW()/100000,""))</f>
        <v/>
      </c>
    </row>
    <row r="708" customFormat="false" ht="15" hidden="false" customHeight="false" outlineLevel="0" collapsed="false">
      <c r="A708" s="0" t="str">
        <f aca="true">IF(B708="","",IF(B708&gt;=TODAY(),B708+ROW()/100000,""))</f>
        <v/>
      </c>
      <c r="B708" s="0" t="str">
        <f aca="false">IF(Documenti!C111="","",IF(Documenti!D111&lt;=90,Documenti!C111,""))</f>
        <v/>
      </c>
      <c r="C708" s="0" t="str">
        <f aca="false">IF(B708="","","Rinnovo · "&amp;Documenti!A111)</f>
        <v/>
      </c>
      <c r="D708" s="0" t="str">
        <f aca="false">IF(B708="","",Documenti!B111)</f>
        <v/>
      </c>
      <c r="E708" s="0" t="str">
        <f aca="false">IF(B708="","","Documento")</f>
        <v/>
      </c>
      <c r="F708" s="0" t="str">
        <f aca="true">IF(B708="","",IF(B708&lt;TODAY(),B708+ROW()/100000,""))</f>
        <v/>
      </c>
    </row>
    <row r="709" customFormat="false" ht="15" hidden="false" customHeight="false" outlineLevel="0" collapsed="false">
      <c r="A709" s="0" t="str">
        <f aca="true">IF(B709="","",IF(B709&gt;=TODAY(),B709+ROW()/100000,""))</f>
        <v/>
      </c>
      <c r="B709" s="0" t="str">
        <f aca="false">IF(Documenti!C112="","",IF(Documenti!D112&lt;=90,Documenti!C112,""))</f>
        <v/>
      </c>
      <c r="C709" s="0" t="str">
        <f aca="false">IF(B709="","","Rinnovo · "&amp;Documenti!A112)</f>
        <v/>
      </c>
      <c r="D709" s="0" t="str">
        <f aca="false">IF(B709="","",Documenti!B112)</f>
        <v/>
      </c>
      <c r="E709" s="0" t="str">
        <f aca="false">IF(B709="","","Documento")</f>
        <v/>
      </c>
      <c r="F709" s="0" t="str">
        <f aca="true">IF(B709="","",IF(B709&lt;TODAY(),B709+ROW()/100000,""))</f>
        <v/>
      </c>
    </row>
    <row r="710" customFormat="false" ht="15" hidden="false" customHeight="false" outlineLevel="0" collapsed="false">
      <c r="A710" s="0" t="str">
        <f aca="true">IF(B710="","",IF(B710&gt;=TODAY(),B710+ROW()/100000,""))</f>
        <v/>
      </c>
      <c r="B710" s="0" t="str">
        <f aca="false">IF(Documenti!C113="","",IF(Documenti!D113&lt;=90,Documenti!C113,""))</f>
        <v/>
      </c>
      <c r="C710" s="0" t="str">
        <f aca="false">IF(B710="","","Rinnovo · "&amp;Documenti!A113)</f>
        <v/>
      </c>
      <c r="D710" s="0" t="str">
        <f aca="false">IF(B710="","",Documenti!B113)</f>
        <v/>
      </c>
      <c r="E710" s="0" t="str">
        <f aca="false">IF(B710="","","Documento")</f>
        <v/>
      </c>
      <c r="F710" s="0" t="str">
        <f aca="true">IF(B710="","",IF(B710&lt;TODAY(),B710+ROW()/100000,""))</f>
        <v/>
      </c>
    </row>
    <row r="711" customFormat="false" ht="15" hidden="false" customHeight="false" outlineLevel="0" collapsed="false">
      <c r="A711" s="0" t="str">
        <f aca="true">IF(B711="","",IF(B711&gt;=TODAY(),B711+ROW()/100000,""))</f>
        <v/>
      </c>
      <c r="B711" s="0" t="str">
        <f aca="false">IF(Documenti!C114="","",IF(Documenti!D114&lt;=90,Documenti!C114,""))</f>
        <v/>
      </c>
      <c r="C711" s="0" t="str">
        <f aca="false">IF(B711="","","Rinnovo · "&amp;Documenti!A114)</f>
        <v/>
      </c>
      <c r="D711" s="0" t="str">
        <f aca="false">IF(B711="","",Documenti!B114)</f>
        <v/>
      </c>
      <c r="E711" s="0" t="str">
        <f aca="false">IF(B711="","","Documento")</f>
        <v/>
      </c>
      <c r="F711" s="0" t="str">
        <f aca="true">IF(B711="","",IF(B711&lt;TODAY(),B711+ROW()/100000,""))</f>
        <v/>
      </c>
    </row>
    <row r="712" customFormat="false" ht="15" hidden="false" customHeight="false" outlineLevel="0" collapsed="false">
      <c r="A712" s="0" t="str">
        <f aca="true">IF(B712="","",IF(B712&gt;=TODAY(),B712+ROW()/100000,""))</f>
        <v/>
      </c>
      <c r="B712" s="0" t="str">
        <f aca="false">IF(Documenti!C115="","",IF(Documenti!D115&lt;=90,Documenti!C115,""))</f>
        <v/>
      </c>
      <c r="C712" s="0" t="str">
        <f aca="false">IF(B712="","","Rinnovo · "&amp;Documenti!A115)</f>
        <v/>
      </c>
      <c r="D712" s="0" t="str">
        <f aca="false">IF(B712="","",Documenti!B115)</f>
        <v/>
      </c>
      <c r="E712" s="0" t="str">
        <f aca="false">IF(B712="","","Documento")</f>
        <v/>
      </c>
      <c r="F712" s="0" t="str">
        <f aca="true">IF(B712="","",IF(B712&lt;TODAY(),B712+ROW()/100000,""))</f>
        <v/>
      </c>
    </row>
    <row r="713" customFormat="false" ht="15" hidden="false" customHeight="false" outlineLevel="0" collapsed="false">
      <c r="A713" s="0" t="str">
        <f aca="true">IF(B713="","",IF(B713&gt;=TODAY(),B713+ROW()/100000,""))</f>
        <v/>
      </c>
      <c r="B713" s="0" t="str">
        <f aca="false">IF(Documenti!C116="","",IF(Documenti!D116&lt;=90,Documenti!C116,""))</f>
        <v/>
      </c>
      <c r="C713" s="0" t="str">
        <f aca="false">IF(B713="","","Rinnovo · "&amp;Documenti!A116)</f>
        <v/>
      </c>
      <c r="D713" s="0" t="str">
        <f aca="false">IF(B713="","",Documenti!B116)</f>
        <v/>
      </c>
      <c r="E713" s="0" t="str">
        <f aca="false">IF(B713="","","Documento")</f>
        <v/>
      </c>
      <c r="F713" s="0" t="str">
        <f aca="true">IF(B713="","",IF(B713&lt;TODAY(),B713+ROW()/100000,""))</f>
        <v/>
      </c>
    </row>
    <row r="714" customFormat="false" ht="15" hidden="false" customHeight="false" outlineLevel="0" collapsed="false">
      <c r="A714" s="0" t="str">
        <f aca="true">IF(B714="","",IF(B714&gt;=TODAY(),B714+ROW()/100000,""))</f>
        <v/>
      </c>
      <c r="B714" s="0" t="str">
        <f aca="false">IF(Documenti!C117="","",IF(Documenti!D117&lt;=90,Documenti!C117,""))</f>
        <v/>
      </c>
      <c r="C714" s="0" t="str">
        <f aca="false">IF(B714="","","Rinnovo · "&amp;Documenti!A117)</f>
        <v/>
      </c>
      <c r="D714" s="0" t="str">
        <f aca="false">IF(B714="","",Documenti!B117)</f>
        <v/>
      </c>
      <c r="E714" s="0" t="str">
        <f aca="false">IF(B714="","","Documento")</f>
        <v/>
      </c>
      <c r="F714" s="0" t="str">
        <f aca="true">IF(B714="","",IF(B714&lt;TODAY(),B714+ROW()/100000,""))</f>
        <v/>
      </c>
    </row>
    <row r="715" customFormat="false" ht="15" hidden="false" customHeight="false" outlineLevel="0" collapsed="false">
      <c r="A715" s="0" t="str">
        <f aca="true">IF(B715="","",IF(B715&gt;=TODAY(),B715+ROW()/100000,""))</f>
        <v/>
      </c>
      <c r="B715" s="0" t="str">
        <f aca="false">IF(Documenti!C118="","",IF(Documenti!D118&lt;=90,Documenti!C118,""))</f>
        <v/>
      </c>
      <c r="C715" s="0" t="str">
        <f aca="false">IF(B715="","","Rinnovo · "&amp;Documenti!A118)</f>
        <v/>
      </c>
      <c r="D715" s="0" t="str">
        <f aca="false">IF(B715="","",Documenti!B118)</f>
        <v/>
      </c>
      <c r="E715" s="0" t="str">
        <f aca="false">IF(B715="","","Documento")</f>
        <v/>
      </c>
      <c r="F715" s="0" t="str">
        <f aca="true">IF(B715="","",IF(B715&lt;TODAY(),B715+ROW()/100000,""))</f>
        <v/>
      </c>
    </row>
    <row r="716" customFormat="false" ht="15" hidden="false" customHeight="false" outlineLevel="0" collapsed="false">
      <c r="A716" s="0" t="str">
        <f aca="true">IF(B716="","",IF(B716&gt;=TODAY(),B716+ROW()/100000,""))</f>
        <v/>
      </c>
      <c r="B716" s="0" t="str">
        <f aca="false">IF(Documenti!C119="","",IF(Documenti!D119&lt;=90,Documenti!C119,""))</f>
        <v/>
      </c>
      <c r="C716" s="0" t="str">
        <f aca="false">IF(B716="","","Rinnovo · "&amp;Documenti!A119)</f>
        <v/>
      </c>
      <c r="D716" s="0" t="str">
        <f aca="false">IF(B716="","",Documenti!B119)</f>
        <v/>
      </c>
      <c r="E716" s="0" t="str">
        <f aca="false">IF(B716="","","Documento")</f>
        <v/>
      </c>
      <c r="F716" s="0" t="str">
        <f aca="true">IF(B716="","",IF(B716&lt;TODAY(),B716+ROW()/100000,""))</f>
        <v/>
      </c>
    </row>
    <row r="717" customFormat="false" ht="15" hidden="false" customHeight="false" outlineLevel="0" collapsed="false">
      <c r="A717" s="0" t="str">
        <f aca="true">IF(B717="","",IF(B717&gt;=TODAY(),B717+ROW()/100000,""))</f>
        <v/>
      </c>
      <c r="B717" s="0" t="str">
        <f aca="false">IF(Documenti!C120="","",IF(Documenti!D120&lt;=90,Documenti!C120,""))</f>
        <v/>
      </c>
      <c r="C717" s="0" t="str">
        <f aca="false">IF(B717="","","Rinnovo · "&amp;Documenti!A120)</f>
        <v/>
      </c>
      <c r="D717" s="0" t="str">
        <f aca="false">IF(B717="","",Documenti!B120)</f>
        <v/>
      </c>
      <c r="E717" s="0" t="str">
        <f aca="false">IF(B717="","","Documento")</f>
        <v/>
      </c>
      <c r="F717" s="0" t="str">
        <f aca="true">IF(B717="","",IF(B717&lt;TODAY(),B717+ROW()/100000,""))</f>
        <v/>
      </c>
    </row>
    <row r="718" customFormat="false" ht="15" hidden="false" customHeight="false" outlineLevel="0" collapsed="false">
      <c r="A718" s="0" t="str">
        <f aca="true">IF(B718="","",IF(B718&gt;=TODAY(),B718+ROW()/100000,""))</f>
        <v/>
      </c>
      <c r="B718" s="0" t="str">
        <f aca="false">IF(Documenti!C121="","",IF(Documenti!D121&lt;=90,Documenti!C121,""))</f>
        <v/>
      </c>
      <c r="C718" s="0" t="str">
        <f aca="false">IF(B718="","","Rinnovo · "&amp;Documenti!A121)</f>
        <v/>
      </c>
      <c r="D718" s="0" t="str">
        <f aca="false">IF(B718="","",Documenti!B121)</f>
        <v/>
      </c>
      <c r="E718" s="0" t="str">
        <f aca="false">IF(B718="","","Documento")</f>
        <v/>
      </c>
      <c r="F718" s="0" t="str">
        <f aca="true">IF(B718="","",IF(B718&lt;TODAY(),B718+ROW()/100000,""))</f>
        <v/>
      </c>
    </row>
    <row r="719" customFormat="false" ht="15" hidden="false" customHeight="false" outlineLevel="0" collapsed="false">
      <c r="A719" s="0" t="str">
        <f aca="true">IF(B719="","",IF(B719&gt;=TODAY(),B719+ROW()/100000,""))</f>
        <v/>
      </c>
      <c r="B719" s="0" t="str">
        <f aca="false">IF(Documenti!C122="","",IF(Documenti!D122&lt;=90,Documenti!C122,""))</f>
        <v/>
      </c>
      <c r="C719" s="0" t="str">
        <f aca="false">IF(B719="","","Rinnovo · "&amp;Documenti!A122)</f>
        <v/>
      </c>
      <c r="D719" s="0" t="str">
        <f aca="false">IF(B719="","",Documenti!B122)</f>
        <v/>
      </c>
      <c r="E719" s="0" t="str">
        <f aca="false">IF(B719="","","Documento")</f>
        <v/>
      </c>
      <c r="F719" s="0" t="str">
        <f aca="true">IF(B719="","",IF(B719&lt;TODAY(),B719+ROW()/100000,""))</f>
        <v/>
      </c>
    </row>
    <row r="720" customFormat="false" ht="15" hidden="false" customHeight="false" outlineLevel="0" collapsed="false">
      <c r="A720" s="0" t="str">
        <f aca="true">IF(B720="","",IF(B720&gt;=TODAY(),B720+ROW()/100000,""))</f>
        <v/>
      </c>
      <c r="B720" s="0" t="str">
        <f aca="false">IF(Documenti!C123="","",IF(Documenti!D123&lt;=90,Documenti!C123,""))</f>
        <v/>
      </c>
      <c r="C720" s="0" t="str">
        <f aca="false">IF(B720="","","Rinnovo · "&amp;Documenti!A123)</f>
        <v/>
      </c>
      <c r="D720" s="0" t="str">
        <f aca="false">IF(B720="","",Documenti!B123)</f>
        <v/>
      </c>
      <c r="E720" s="0" t="str">
        <f aca="false">IF(B720="","","Documento")</f>
        <v/>
      </c>
      <c r="F720" s="0" t="str">
        <f aca="true">IF(B720="","",IF(B720&lt;TODAY(),B720+ROW()/100000,""))</f>
        <v/>
      </c>
    </row>
    <row r="721" customFormat="false" ht="15" hidden="false" customHeight="false" outlineLevel="0" collapsed="false">
      <c r="A721" s="0" t="str">
        <f aca="true">IF(B721="","",IF(B721&gt;=TODAY(),B721+ROW()/100000,""))</f>
        <v/>
      </c>
      <c r="B721" s="0" t="str">
        <f aca="false">IF(Documenti!C124="","",IF(Documenti!D124&lt;=90,Documenti!C124,""))</f>
        <v/>
      </c>
      <c r="C721" s="0" t="str">
        <f aca="false">IF(B721="","","Rinnovo · "&amp;Documenti!A124)</f>
        <v/>
      </c>
      <c r="D721" s="0" t="str">
        <f aca="false">IF(B721="","",Documenti!B124)</f>
        <v/>
      </c>
      <c r="E721" s="0" t="str">
        <f aca="false">IF(B721="","","Documento")</f>
        <v/>
      </c>
      <c r="F721" s="0" t="str">
        <f aca="true">IF(B721="","",IF(B721&lt;TODAY(),B721+ROW()/100000,""))</f>
        <v/>
      </c>
    </row>
    <row r="722" customFormat="false" ht="15" hidden="false" customHeight="false" outlineLevel="0" collapsed="false">
      <c r="A722" s="0" t="str">
        <f aca="true">IF(B722="","",IF(B722&gt;=TODAY(),B722+ROW()/100000,""))</f>
        <v/>
      </c>
      <c r="B722" s="0" t="str">
        <f aca="false">IF(Documenti!C125="","",IF(Documenti!D125&lt;=90,Documenti!C125,""))</f>
        <v/>
      </c>
      <c r="C722" s="0" t="str">
        <f aca="false">IF(B722="","","Rinnovo · "&amp;Documenti!A125)</f>
        <v/>
      </c>
      <c r="D722" s="0" t="str">
        <f aca="false">IF(B722="","",Documenti!B125)</f>
        <v/>
      </c>
      <c r="E722" s="0" t="str">
        <f aca="false">IF(B722="","","Documento")</f>
        <v/>
      </c>
      <c r="F722" s="0" t="str">
        <f aca="true">IF(B722="","",IF(B722&lt;TODAY(),B722+ROW()/100000,""))</f>
        <v/>
      </c>
    </row>
    <row r="723" customFormat="false" ht="15" hidden="false" customHeight="false" outlineLevel="0" collapsed="false">
      <c r="A723" s="0" t="str">
        <f aca="true">IF(B723="","",IF(B723&gt;=TODAY(),B723+ROW()/100000,""))</f>
        <v/>
      </c>
      <c r="B723" s="0" t="str">
        <f aca="false">IF(Documenti!C126="","",IF(Documenti!D126&lt;=90,Documenti!C126,""))</f>
        <v/>
      </c>
      <c r="C723" s="0" t="str">
        <f aca="false">IF(B723="","","Rinnovo · "&amp;Documenti!A126)</f>
        <v/>
      </c>
      <c r="D723" s="0" t="str">
        <f aca="false">IF(B723="","",Documenti!B126)</f>
        <v/>
      </c>
      <c r="E723" s="0" t="str">
        <f aca="false">IF(B723="","","Documento")</f>
        <v/>
      </c>
      <c r="F723" s="0" t="str">
        <f aca="true">IF(B723="","",IF(B723&lt;TODAY(),B723+ROW()/100000,""))</f>
        <v/>
      </c>
    </row>
    <row r="724" customFormat="false" ht="15" hidden="false" customHeight="false" outlineLevel="0" collapsed="false">
      <c r="A724" s="0" t="str">
        <f aca="true">IF(B724="","",IF(B724&gt;=TODAY(),B724+ROW()/100000,""))</f>
        <v/>
      </c>
      <c r="B724" s="0" t="str">
        <f aca="false">IF(Documenti!C127="","",IF(Documenti!D127&lt;=90,Documenti!C127,""))</f>
        <v/>
      </c>
      <c r="C724" s="0" t="str">
        <f aca="false">IF(B724="","","Rinnovo · "&amp;Documenti!A127)</f>
        <v/>
      </c>
      <c r="D724" s="0" t="str">
        <f aca="false">IF(B724="","",Documenti!B127)</f>
        <v/>
      </c>
      <c r="E724" s="0" t="str">
        <f aca="false">IF(B724="","","Documento")</f>
        <v/>
      </c>
      <c r="F724" s="0" t="str">
        <f aca="true">IF(B724="","",IF(B724&lt;TODAY(),B724+ROW()/100000,""))</f>
        <v/>
      </c>
    </row>
    <row r="725" customFormat="false" ht="15" hidden="false" customHeight="false" outlineLevel="0" collapsed="false">
      <c r="A725" s="0" t="str">
        <f aca="true">IF(B725="","",IF(B725&gt;=TODAY(),B725+ROW()/100000,""))</f>
        <v/>
      </c>
      <c r="B725" s="0" t="str">
        <f aca="false">IF(Documenti!C128="","",IF(Documenti!D128&lt;=90,Documenti!C128,""))</f>
        <v/>
      </c>
      <c r="C725" s="0" t="str">
        <f aca="false">IF(B725="","","Rinnovo · "&amp;Documenti!A128)</f>
        <v/>
      </c>
      <c r="D725" s="0" t="str">
        <f aca="false">IF(B725="","",Documenti!B128)</f>
        <v/>
      </c>
      <c r="E725" s="0" t="str">
        <f aca="false">IF(B725="","","Documento")</f>
        <v/>
      </c>
      <c r="F725" s="0" t="str">
        <f aca="true">IF(B725="","",IF(B725&lt;TODAY(),B725+ROW()/100000,""))</f>
        <v/>
      </c>
    </row>
    <row r="726" customFormat="false" ht="15" hidden="false" customHeight="false" outlineLevel="0" collapsed="false">
      <c r="A726" s="0" t="str">
        <f aca="true">IF(B726="","",IF(B726&gt;=TODAY(),B726+ROW()/100000,""))</f>
        <v/>
      </c>
      <c r="B726" s="0" t="str">
        <f aca="false">IF(Documenti!C129="","",IF(Documenti!D129&lt;=90,Documenti!C129,""))</f>
        <v/>
      </c>
      <c r="C726" s="0" t="str">
        <f aca="false">IF(B726="","","Rinnovo · "&amp;Documenti!A129)</f>
        <v/>
      </c>
      <c r="D726" s="0" t="str">
        <f aca="false">IF(B726="","",Documenti!B129)</f>
        <v/>
      </c>
      <c r="E726" s="0" t="str">
        <f aca="false">IF(B726="","","Documento")</f>
        <v/>
      </c>
      <c r="F726" s="0" t="str">
        <f aca="true">IF(B726="","",IF(B726&lt;TODAY(),B726+ROW()/100000,""))</f>
        <v/>
      </c>
    </row>
    <row r="727" customFormat="false" ht="15" hidden="false" customHeight="false" outlineLevel="0" collapsed="false">
      <c r="A727" s="0" t="str">
        <f aca="true">IF(B727="","",IF(B727&gt;=TODAY(),B727+ROW()/100000,""))</f>
        <v/>
      </c>
      <c r="B727" s="0" t="str">
        <f aca="false">IF(Documenti!C130="","",IF(Documenti!D130&lt;=90,Documenti!C130,""))</f>
        <v/>
      </c>
      <c r="C727" s="0" t="str">
        <f aca="false">IF(B727="","","Rinnovo · "&amp;Documenti!A130)</f>
        <v/>
      </c>
      <c r="D727" s="0" t="str">
        <f aca="false">IF(B727="","",Documenti!B130)</f>
        <v/>
      </c>
      <c r="E727" s="0" t="str">
        <f aca="false">IF(B727="","","Documento")</f>
        <v/>
      </c>
      <c r="F727" s="0" t="str">
        <f aca="true">IF(B727="","",IF(B727&lt;TODAY(),B727+ROW()/100000,""))</f>
        <v/>
      </c>
    </row>
    <row r="728" customFormat="false" ht="15" hidden="false" customHeight="false" outlineLevel="0" collapsed="false">
      <c r="A728" s="0" t="str">
        <f aca="true">IF(B728="","",IF(B728&gt;=TODAY(),B728+ROW()/100000,""))</f>
        <v/>
      </c>
      <c r="B728" s="0" t="str">
        <f aca="false">IF(Documenti!C131="","",IF(Documenti!D131&lt;=90,Documenti!C131,""))</f>
        <v/>
      </c>
      <c r="C728" s="0" t="str">
        <f aca="false">IF(B728="","","Rinnovo · "&amp;Documenti!A131)</f>
        <v/>
      </c>
      <c r="D728" s="0" t="str">
        <f aca="false">IF(B728="","",Documenti!B131)</f>
        <v/>
      </c>
      <c r="E728" s="0" t="str">
        <f aca="false">IF(B728="","","Documento")</f>
        <v/>
      </c>
      <c r="F728" s="0" t="str">
        <f aca="true">IF(B728="","",IF(B728&lt;TODAY(),B728+ROW()/100000,""))</f>
        <v/>
      </c>
    </row>
    <row r="729" customFormat="false" ht="15" hidden="false" customHeight="false" outlineLevel="0" collapsed="false">
      <c r="A729" s="0" t="str">
        <f aca="true">IF(B729="","",IF(B729&gt;=TODAY(),B729+ROW()/100000,""))</f>
        <v/>
      </c>
      <c r="B729" s="0" t="str">
        <f aca="false">IF(Documenti!C132="","",IF(Documenti!D132&lt;=90,Documenti!C132,""))</f>
        <v/>
      </c>
      <c r="C729" s="0" t="str">
        <f aca="false">IF(B729="","","Rinnovo · "&amp;Documenti!A132)</f>
        <v/>
      </c>
      <c r="D729" s="0" t="str">
        <f aca="false">IF(B729="","",Documenti!B132)</f>
        <v/>
      </c>
      <c r="E729" s="0" t="str">
        <f aca="false">IF(B729="","","Documento")</f>
        <v/>
      </c>
      <c r="F729" s="0" t="str">
        <f aca="true">IF(B729="","",IF(B729&lt;TODAY(),B729+ROW()/100000,""))</f>
        <v/>
      </c>
    </row>
    <row r="730" customFormat="false" ht="15" hidden="false" customHeight="false" outlineLevel="0" collapsed="false">
      <c r="A730" s="0" t="str">
        <f aca="true">IF(B730="","",IF(B730&gt;=TODAY(),B730+ROW()/100000,""))</f>
        <v/>
      </c>
      <c r="B730" s="0" t="str">
        <f aca="false">IF(Documenti!C133="","",IF(Documenti!D133&lt;=90,Documenti!C133,""))</f>
        <v/>
      </c>
      <c r="C730" s="0" t="str">
        <f aca="false">IF(B730="","","Rinnovo · "&amp;Documenti!A133)</f>
        <v/>
      </c>
      <c r="D730" s="0" t="str">
        <f aca="false">IF(B730="","",Documenti!B133)</f>
        <v/>
      </c>
      <c r="E730" s="0" t="str">
        <f aca="false">IF(B730="","","Documento")</f>
        <v/>
      </c>
      <c r="F730" s="0" t="str">
        <f aca="true">IF(B730="","",IF(B730&lt;TODAY(),B730+ROW()/100000,""))</f>
        <v/>
      </c>
    </row>
    <row r="731" customFormat="false" ht="15" hidden="false" customHeight="false" outlineLevel="0" collapsed="false">
      <c r="A731" s="0" t="str">
        <f aca="true">IF(B731="","",IF(B731&gt;=TODAY(),B731+ROW()/100000,""))</f>
        <v/>
      </c>
      <c r="B731" s="0" t="str">
        <f aca="false">IF(Documenti!C134="","",IF(Documenti!D134&lt;=90,Documenti!C134,""))</f>
        <v/>
      </c>
      <c r="C731" s="0" t="str">
        <f aca="false">IF(B731="","","Rinnovo · "&amp;Documenti!A134)</f>
        <v/>
      </c>
      <c r="D731" s="0" t="str">
        <f aca="false">IF(B731="","",Documenti!B134)</f>
        <v/>
      </c>
      <c r="E731" s="0" t="str">
        <f aca="false">IF(B731="","","Documento")</f>
        <v/>
      </c>
      <c r="F731" s="0" t="str">
        <f aca="true">IF(B731="","",IF(B731&lt;TODAY(),B731+ROW()/100000,""))</f>
        <v/>
      </c>
    </row>
    <row r="732" customFormat="false" ht="15" hidden="false" customHeight="false" outlineLevel="0" collapsed="false">
      <c r="A732" s="0" t="str">
        <f aca="true">IF(B732="","",IF(B732&gt;=TODAY(),B732+ROW()/100000,""))</f>
        <v/>
      </c>
      <c r="B732" s="0" t="str">
        <f aca="false">IF(Documenti!C135="","",IF(Documenti!D135&lt;=90,Documenti!C135,""))</f>
        <v/>
      </c>
      <c r="C732" s="0" t="str">
        <f aca="false">IF(B732="","","Rinnovo · "&amp;Documenti!A135)</f>
        <v/>
      </c>
      <c r="D732" s="0" t="str">
        <f aca="false">IF(B732="","",Documenti!B135)</f>
        <v/>
      </c>
      <c r="E732" s="0" t="str">
        <f aca="false">IF(B732="","","Documento")</f>
        <v/>
      </c>
      <c r="F732" s="0" t="str">
        <f aca="true">IF(B732="","",IF(B732&lt;TODAY(),B732+ROW()/100000,""))</f>
        <v/>
      </c>
    </row>
    <row r="733" customFormat="false" ht="15" hidden="false" customHeight="false" outlineLevel="0" collapsed="false">
      <c r="A733" s="0" t="str">
        <f aca="true">IF(B733="","",IF(B733&gt;=TODAY(),B733+ROW()/100000,""))</f>
        <v/>
      </c>
      <c r="B733" s="0" t="str">
        <f aca="false">IF(Documenti!C136="","",IF(Documenti!D136&lt;=90,Documenti!C136,""))</f>
        <v/>
      </c>
      <c r="C733" s="0" t="str">
        <f aca="false">IF(B733="","","Rinnovo · "&amp;Documenti!A136)</f>
        <v/>
      </c>
      <c r="D733" s="0" t="str">
        <f aca="false">IF(B733="","",Documenti!B136)</f>
        <v/>
      </c>
      <c r="E733" s="0" t="str">
        <f aca="false">IF(B733="","","Documento")</f>
        <v/>
      </c>
      <c r="F733" s="0" t="str">
        <f aca="true">IF(B733="","",IF(B733&lt;TODAY(),B733+ROW()/100000,""))</f>
        <v/>
      </c>
    </row>
    <row r="734" customFormat="false" ht="15" hidden="false" customHeight="false" outlineLevel="0" collapsed="false">
      <c r="A734" s="0" t="str">
        <f aca="true">IF(B734="","",IF(B734&gt;=TODAY(),B734+ROW()/100000,""))</f>
        <v/>
      </c>
      <c r="B734" s="0" t="str">
        <f aca="false">IF(Documenti!C137="","",IF(Documenti!D137&lt;=90,Documenti!C137,""))</f>
        <v/>
      </c>
      <c r="C734" s="0" t="str">
        <f aca="false">IF(B734="","","Rinnovo · "&amp;Documenti!A137)</f>
        <v/>
      </c>
      <c r="D734" s="0" t="str">
        <f aca="false">IF(B734="","",Documenti!B137)</f>
        <v/>
      </c>
      <c r="E734" s="0" t="str">
        <f aca="false">IF(B734="","","Documento")</f>
        <v/>
      </c>
      <c r="F734" s="0" t="str">
        <f aca="true">IF(B734="","",IF(B734&lt;TODAY(),B734+ROW()/100000,""))</f>
        <v/>
      </c>
    </row>
    <row r="735" customFormat="false" ht="15" hidden="false" customHeight="false" outlineLevel="0" collapsed="false">
      <c r="A735" s="0" t="str">
        <f aca="true">IF(B735="","",IF(B735&gt;=TODAY(),B735+ROW()/100000,""))</f>
        <v/>
      </c>
      <c r="B735" s="0" t="str">
        <f aca="false">IF(Documenti!C138="","",IF(Documenti!D138&lt;=90,Documenti!C138,""))</f>
        <v/>
      </c>
      <c r="C735" s="0" t="str">
        <f aca="false">IF(B735="","","Rinnovo · "&amp;Documenti!A138)</f>
        <v/>
      </c>
      <c r="D735" s="0" t="str">
        <f aca="false">IF(B735="","",Documenti!B138)</f>
        <v/>
      </c>
      <c r="E735" s="0" t="str">
        <f aca="false">IF(B735="","","Documento")</f>
        <v/>
      </c>
      <c r="F735" s="0" t="str">
        <f aca="true">IF(B735="","",IF(B735&lt;TODAY(),B735+ROW()/100000,""))</f>
        <v/>
      </c>
    </row>
    <row r="736" customFormat="false" ht="15" hidden="false" customHeight="false" outlineLevel="0" collapsed="false">
      <c r="A736" s="0" t="str">
        <f aca="true">IF(B736="","",IF(B736&gt;=TODAY(),B736+ROW()/100000,""))</f>
        <v/>
      </c>
      <c r="B736" s="0" t="str">
        <f aca="false">IF(Documenti!C139="","",IF(Documenti!D139&lt;=90,Documenti!C139,""))</f>
        <v/>
      </c>
      <c r="C736" s="0" t="str">
        <f aca="false">IF(B736="","","Rinnovo · "&amp;Documenti!A139)</f>
        <v/>
      </c>
      <c r="D736" s="0" t="str">
        <f aca="false">IF(B736="","",Documenti!B139)</f>
        <v/>
      </c>
      <c r="E736" s="0" t="str">
        <f aca="false">IF(B736="","","Documento")</f>
        <v/>
      </c>
      <c r="F736" s="0" t="str">
        <f aca="true">IF(B736="","",IF(B736&lt;TODAY(),B736+ROW()/100000,""))</f>
        <v/>
      </c>
    </row>
    <row r="737" customFormat="false" ht="15" hidden="false" customHeight="false" outlineLevel="0" collapsed="false">
      <c r="A737" s="0" t="str">
        <f aca="true">IF(B737="","",IF(B737&gt;=TODAY(),B737+ROW()/100000,""))</f>
        <v/>
      </c>
      <c r="B737" s="0" t="str">
        <f aca="false">IF(Documenti!C140="","",IF(Documenti!D140&lt;=90,Documenti!C140,""))</f>
        <v/>
      </c>
      <c r="C737" s="0" t="str">
        <f aca="false">IF(B737="","","Rinnovo · "&amp;Documenti!A140)</f>
        <v/>
      </c>
      <c r="D737" s="0" t="str">
        <f aca="false">IF(B737="","",Documenti!B140)</f>
        <v/>
      </c>
      <c r="E737" s="0" t="str">
        <f aca="false">IF(B737="","","Documento")</f>
        <v/>
      </c>
      <c r="F737" s="0" t="str">
        <f aca="true">IF(B737="","",IF(B737&lt;TODAY(),B737+ROW()/100000,""))</f>
        <v/>
      </c>
    </row>
    <row r="738" customFormat="false" ht="15" hidden="false" customHeight="false" outlineLevel="0" collapsed="false">
      <c r="A738" s="0" t="str">
        <f aca="true">IF(B738="","",IF(B738&gt;=TODAY(),B738+ROW()/100000,""))</f>
        <v/>
      </c>
      <c r="B738" s="0" t="str">
        <f aca="false">IF(Documenti!C141="","",IF(Documenti!D141&lt;=90,Documenti!C141,""))</f>
        <v/>
      </c>
      <c r="C738" s="0" t="str">
        <f aca="false">IF(B738="","","Rinnovo · "&amp;Documenti!A141)</f>
        <v/>
      </c>
      <c r="D738" s="0" t="str">
        <f aca="false">IF(B738="","",Documenti!B141)</f>
        <v/>
      </c>
      <c r="E738" s="0" t="str">
        <f aca="false">IF(B738="","","Documento")</f>
        <v/>
      </c>
      <c r="F738" s="0" t="str">
        <f aca="true">IF(B738="","",IF(B738&lt;TODAY(),B738+ROW()/100000,""))</f>
        <v/>
      </c>
    </row>
    <row r="739" customFormat="false" ht="15" hidden="false" customHeight="false" outlineLevel="0" collapsed="false">
      <c r="A739" s="0" t="str">
        <f aca="true">IF(B739="","",IF(B739&gt;=TODAY(),B739+ROW()/100000,""))</f>
        <v/>
      </c>
      <c r="B739" s="0" t="str">
        <f aca="false">IF(Documenti!C142="","",IF(Documenti!D142&lt;=90,Documenti!C142,""))</f>
        <v/>
      </c>
      <c r="C739" s="0" t="str">
        <f aca="false">IF(B739="","","Rinnovo · "&amp;Documenti!A142)</f>
        <v/>
      </c>
      <c r="D739" s="0" t="str">
        <f aca="false">IF(B739="","",Documenti!B142)</f>
        <v/>
      </c>
      <c r="E739" s="0" t="str">
        <f aca="false">IF(B739="","","Documento")</f>
        <v/>
      </c>
      <c r="F739" s="0" t="str">
        <f aca="true">IF(B739="","",IF(B739&lt;TODAY(),B739+ROW()/100000,""))</f>
        <v/>
      </c>
    </row>
    <row r="740" customFormat="false" ht="15" hidden="false" customHeight="false" outlineLevel="0" collapsed="false">
      <c r="A740" s="0" t="str">
        <f aca="true">IF(B740="","",IF(B740&gt;=TODAY(),B740+ROW()/100000,""))</f>
        <v/>
      </c>
      <c r="B740" s="0" t="str">
        <f aca="false">IF(Documenti!C143="","",IF(Documenti!D143&lt;=90,Documenti!C143,""))</f>
        <v/>
      </c>
      <c r="C740" s="0" t="str">
        <f aca="false">IF(B740="","","Rinnovo · "&amp;Documenti!A143)</f>
        <v/>
      </c>
      <c r="D740" s="0" t="str">
        <f aca="false">IF(B740="","",Documenti!B143)</f>
        <v/>
      </c>
      <c r="E740" s="0" t="str">
        <f aca="false">IF(B740="","","Documento")</f>
        <v/>
      </c>
      <c r="F740" s="0" t="str">
        <f aca="true">IF(B740="","",IF(B740&lt;TODAY(),B740+ROW()/100000,""))</f>
        <v/>
      </c>
    </row>
    <row r="741" customFormat="false" ht="15" hidden="false" customHeight="false" outlineLevel="0" collapsed="false">
      <c r="A741" s="0" t="str">
        <f aca="true">IF(B741="","",IF(B741&gt;=TODAY(),B741+ROW()/100000,""))</f>
        <v/>
      </c>
      <c r="B741" s="0" t="str">
        <f aca="false">IF(Documenti!C144="","",IF(Documenti!D144&lt;=90,Documenti!C144,""))</f>
        <v/>
      </c>
      <c r="C741" s="0" t="str">
        <f aca="false">IF(B741="","","Rinnovo · "&amp;Documenti!A144)</f>
        <v/>
      </c>
      <c r="D741" s="0" t="str">
        <f aca="false">IF(B741="","",Documenti!B144)</f>
        <v/>
      </c>
      <c r="E741" s="0" t="str">
        <f aca="false">IF(B741="","","Documento")</f>
        <v/>
      </c>
      <c r="F741" s="0" t="str">
        <f aca="true">IF(B741="","",IF(B741&lt;TODAY(),B741+ROW()/100000,""))</f>
        <v/>
      </c>
    </row>
    <row r="742" customFormat="false" ht="15" hidden="false" customHeight="false" outlineLevel="0" collapsed="false">
      <c r="A742" s="0" t="str">
        <f aca="true">IF(B742="","",IF(B742&gt;=TODAY(),B742+ROW()/100000,""))</f>
        <v/>
      </c>
      <c r="B742" s="0" t="str">
        <f aca="false">IF(Documenti!C145="","",IF(Documenti!D145&lt;=90,Documenti!C145,""))</f>
        <v/>
      </c>
      <c r="C742" s="0" t="str">
        <f aca="false">IF(B742="","","Rinnovo · "&amp;Documenti!A145)</f>
        <v/>
      </c>
      <c r="D742" s="0" t="str">
        <f aca="false">IF(B742="","",Documenti!B145)</f>
        <v/>
      </c>
      <c r="E742" s="0" t="str">
        <f aca="false">IF(B742="","","Documento")</f>
        <v/>
      </c>
      <c r="F742" s="0" t="str">
        <f aca="true">IF(B742="","",IF(B742&lt;TODAY(),B742+ROW()/100000,""))</f>
        <v/>
      </c>
    </row>
    <row r="743" customFormat="false" ht="15" hidden="false" customHeight="false" outlineLevel="0" collapsed="false">
      <c r="A743" s="0" t="str">
        <f aca="true">IF(B743="","",IF(B743&gt;=TODAY(),B743+ROW()/100000,""))</f>
        <v/>
      </c>
      <c r="B743" s="0" t="str">
        <f aca="false">IF(Documenti!C146="","",IF(Documenti!D146&lt;=90,Documenti!C146,""))</f>
        <v/>
      </c>
      <c r="C743" s="0" t="str">
        <f aca="false">IF(B743="","","Rinnovo · "&amp;Documenti!A146)</f>
        <v/>
      </c>
      <c r="D743" s="0" t="str">
        <f aca="false">IF(B743="","",Documenti!B146)</f>
        <v/>
      </c>
      <c r="E743" s="0" t="str">
        <f aca="false">IF(B743="","","Documento")</f>
        <v/>
      </c>
      <c r="F743" s="0" t="str">
        <f aca="true">IF(B743="","",IF(B743&lt;TODAY(),B743+ROW()/100000,""))</f>
        <v/>
      </c>
    </row>
    <row r="744" customFormat="false" ht="15" hidden="false" customHeight="false" outlineLevel="0" collapsed="false">
      <c r="A744" s="0" t="str">
        <f aca="true">IF(B744="","",IF(B744&gt;=TODAY(),B744+ROW()/100000,""))</f>
        <v/>
      </c>
      <c r="B744" s="0" t="str">
        <f aca="false">IF(Documenti!C147="","",IF(Documenti!D147&lt;=90,Documenti!C147,""))</f>
        <v/>
      </c>
      <c r="C744" s="0" t="str">
        <f aca="false">IF(B744="","","Rinnovo · "&amp;Documenti!A147)</f>
        <v/>
      </c>
      <c r="D744" s="0" t="str">
        <f aca="false">IF(B744="","",Documenti!B147)</f>
        <v/>
      </c>
      <c r="E744" s="0" t="str">
        <f aca="false">IF(B744="","","Documento")</f>
        <v/>
      </c>
      <c r="F744" s="0" t="str">
        <f aca="true">IF(B744="","",IF(B744&lt;TODAY(),B744+ROW()/100000,""))</f>
        <v/>
      </c>
    </row>
    <row r="745" customFormat="false" ht="15" hidden="false" customHeight="false" outlineLevel="0" collapsed="false">
      <c r="A745" s="0" t="str">
        <f aca="true">IF(B745="","",IF(B745&gt;=TODAY(),B745+ROW()/100000,""))</f>
        <v/>
      </c>
      <c r="B745" s="0" t="str">
        <f aca="false">IF(Documenti!C148="","",IF(Documenti!D148&lt;=90,Documenti!C148,""))</f>
        <v/>
      </c>
      <c r="C745" s="0" t="str">
        <f aca="false">IF(B745="","","Rinnovo · "&amp;Documenti!A148)</f>
        <v/>
      </c>
      <c r="D745" s="0" t="str">
        <f aca="false">IF(B745="","",Documenti!B148)</f>
        <v/>
      </c>
      <c r="E745" s="0" t="str">
        <f aca="false">IF(B745="","","Documento")</f>
        <v/>
      </c>
      <c r="F745" s="0" t="str">
        <f aca="true">IF(B745="","",IF(B745&lt;TODAY(),B745+ROW()/100000,""))</f>
        <v/>
      </c>
    </row>
    <row r="746" customFormat="false" ht="15" hidden="false" customHeight="false" outlineLevel="0" collapsed="false">
      <c r="A746" s="0" t="str">
        <f aca="true">IF(B746="","",IF(B746&gt;=TODAY(),B746+ROW()/100000,""))</f>
        <v/>
      </c>
      <c r="B746" s="0" t="str">
        <f aca="false">IF(Documenti!C149="","",IF(Documenti!D149&lt;=90,Documenti!C149,""))</f>
        <v/>
      </c>
      <c r="C746" s="0" t="str">
        <f aca="false">IF(B746="","","Rinnovo · "&amp;Documenti!A149)</f>
        <v/>
      </c>
      <c r="D746" s="0" t="str">
        <f aca="false">IF(B746="","",Documenti!B149)</f>
        <v/>
      </c>
      <c r="E746" s="0" t="str">
        <f aca="false">IF(B746="","","Documento")</f>
        <v/>
      </c>
      <c r="F746" s="0" t="str">
        <f aca="true">IF(B746="","",IF(B746&lt;TODAY(),B746+ROW()/100000,""))</f>
        <v/>
      </c>
    </row>
    <row r="747" customFormat="false" ht="15" hidden="false" customHeight="false" outlineLevel="0" collapsed="false">
      <c r="A747" s="0" t="str">
        <f aca="true">IF(B747="","",IF(B747&gt;=TODAY(),B747+ROW()/100000,""))</f>
        <v/>
      </c>
      <c r="B747" s="0" t="str">
        <f aca="false">IF(Documenti!C150="","",IF(Documenti!D150&lt;=90,Documenti!C150,""))</f>
        <v/>
      </c>
      <c r="C747" s="0" t="str">
        <f aca="false">IF(B747="","","Rinnovo · "&amp;Documenti!A150)</f>
        <v/>
      </c>
      <c r="D747" s="0" t="str">
        <f aca="false">IF(B747="","",Documenti!B150)</f>
        <v/>
      </c>
      <c r="E747" s="0" t="str">
        <f aca="false">IF(B747="","","Documento")</f>
        <v/>
      </c>
      <c r="F747" s="0" t="str">
        <f aca="true">IF(B747="","",IF(B747&lt;TODAY(),B747+ROW()/100000,""))</f>
        <v/>
      </c>
    </row>
    <row r="748" customFormat="false" ht="15" hidden="false" customHeight="false" outlineLevel="0" collapsed="false">
      <c r="A748" s="0" t="str">
        <f aca="true">IF(B748="","",IF(B748&gt;=TODAY(),B748+ROW()/100000,""))</f>
        <v/>
      </c>
      <c r="B748" s="0" t="str">
        <f aca="false">IF(Documenti!C151="","",IF(Documenti!D151&lt;=90,Documenti!C151,""))</f>
        <v/>
      </c>
      <c r="C748" s="0" t="str">
        <f aca="false">IF(B748="","","Rinnovo · "&amp;Documenti!A151)</f>
        <v/>
      </c>
      <c r="D748" s="0" t="str">
        <f aca="false">IF(B748="","",Documenti!B151)</f>
        <v/>
      </c>
      <c r="E748" s="0" t="str">
        <f aca="false">IF(B748="","","Documento")</f>
        <v/>
      </c>
      <c r="F748" s="0" t="str">
        <f aca="true">IF(B748="","",IF(B748&lt;TODAY(),B748+ROW()/100000,""))</f>
        <v/>
      </c>
    </row>
    <row r="749" customFormat="false" ht="15" hidden="false" customHeight="false" outlineLevel="0" collapsed="false">
      <c r="A749" s="0" t="str">
        <f aca="true">IF(B749="","",IF(B749&gt;=TODAY(),B749+ROW()/100000,""))</f>
        <v/>
      </c>
      <c r="B749" s="0" t="str">
        <f aca="false">IF(Documenti!C152="","",IF(Documenti!D152&lt;=90,Documenti!C152,""))</f>
        <v/>
      </c>
      <c r="C749" s="0" t="str">
        <f aca="false">IF(B749="","","Rinnovo · "&amp;Documenti!A152)</f>
        <v/>
      </c>
      <c r="D749" s="0" t="str">
        <f aca="false">IF(B749="","",Documenti!B152)</f>
        <v/>
      </c>
      <c r="E749" s="0" t="str">
        <f aca="false">IF(B749="","","Documento")</f>
        <v/>
      </c>
      <c r="F749" s="0" t="str">
        <f aca="true">IF(B749="","",IF(B749&lt;TODAY(),B749+ROW()/100000,""))</f>
        <v/>
      </c>
    </row>
    <row r="750" customFormat="false" ht="15" hidden="false" customHeight="false" outlineLevel="0" collapsed="false">
      <c r="A750" s="0" t="str">
        <f aca="true">IF(B750="","",IF(B750&gt;=TODAY(),B750+ROW()/100000,""))</f>
        <v/>
      </c>
      <c r="B750" s="0" t="str">
        <f aca="false">IF(Documenti!C153="","",IF(Documenti!D153&lt;=90,Documenti!C153,""))</f>
        <v/>
      </c>
      <c r="C750" s="0" t="str">
        <f aca="false">IF(B750="","","Rinnovo · "&amp;Documenti!A153)</f>
        <v/>
      </c>
      <c r="D750" s="0" t="str">
        <f aca="false">IF(B750="","",Documenti!B153)</f>
        <v/>
      </c>
      <c r="E750" s="0" t="str">
        <f aca="false">IF(B750="","","Documento")</f>
        <v/>
      </c>
      <c r="F750" s="0" t="str">
        <f aca="true">IF(B750="","",IF(B750&lt;TODAY(),B750+ROW()/100000,""))</f>
        <v/>
      </c>
    </row>
    <row r="751" customFormat="false" ht="15" hidden="false" customHeight="false" outlineLevel="0" collapsed="false">
      <c r="A751" s="0" t="str">
        <f aca="true">IF(B751="","",IF(B751&gt;=TODAY(),B751+ROW()/100000,""))</f>
        <v/>
      </c>
      <c r="B751" s="0" t="str">
        <f aca="false">IF(Documenti!C154="","",IF(Documenti!D154&lt;=90,Documenti!C154,""))</f>
        <v/>
      </c>
      <c r="C751" s="0" t="str">
        <f aca="false">IF(B751="","","Rinnovo · "&amp;Documenti!A154)</f>
        <v/>
      </c>
      <c r="D751" s="0" t="str">
        <f aca="false">IF(B751="","",Documenti!B154)</f>
        <v/>
      </c>
      <c r="E751" s="0" t="str">
        <f aca="false">IF(B751="","","Documento")</f>
        <v/>
      </c>
      <c r="F751" s="0" t="str">
        <f aca="true">IF(B751="","",IF(B751&lt;TODAY(),B751+ROW()/100000,""))</f>
        <v/>
      </c>
    </row>
    <row r="752" customFormat="false" ht="15" hidden="false" customHeight="false" outlineLevel="0" collapsed="false">
      <c r="A752" s="0" t="str">
        <f aca="true">IF(B752="","",IF(B752&gt;=TODAY(),B752+ROW()/100000,""))</f>
        <v/>
      </c>
      <c r="B752" s="0" t="str">
        <f aca="false">IF(Documenti!C155="","",IF(Documenti!D155&lt;=90,Documenti!C155,""))</f>
        <v/>
      </c>
      <c r="C752" s="0" t="str">
        <f aca="false">IF(B752="","","Rinnovo · "&amp;Documenti!A155)</f>
        <v/>
      </c>
      <c r="D752" s="0" t="str">
        <f aca="false">IF(B752="","",Documenti!B155)</f>
        <v/>
      </c>
      <c r="E752" s="0" t="str">
        <f aca="false">IF(B752="","","Documento")</f>
        <v/>
      </c>
      <c r="F752" s="0" t="str">
        <f aca="true">IF(B752="","",IF(B752&lt;TODAY(),B752+ROW()/100000,""))</f>
        <v/>
      </c>
    </row>
    <row r="753" customFormat="false" ht="15" hidden="false" customHeight="false" outlineLevel="0" collapsed="false">
      <c r="A753" s="0" t="str">
        <f aca="true">IF(B753="","",IF(B753&gt;=TODAY(),B753+ROW()/100000,""))</f>
        <v/>
      </c>
      <c r="B753" s="0" t="str">
        <f aca="false">IF(Documenti!C156="","",IF(Documenti!D156&lt;=90,Documenti!C156,""))</f>
        <v/>
      </c>
      <c r="C753" s="0" t="str">
        <f aca="false">IF(B753="","","Rinnovo · "&amp;Documenti!A156)</f>
        <v/>
      </c>
      <c r="D753" s="0" t="str">
        <f aca="false">IF(B753="","",Documenti!B156)</f>
        <v/>
      </c>
      <c r="E753" s="0" t="str">
        <f aca="false">IF(B753="","","Documento")</f>
        <v/>
      </c>
      <c r="F753" s="0" t="str">
        <f aca="true">IF(B753="","",IF(B753&lt;TODAY(),B753+ROW()/100000,""))</f>
        <v/>
      </c>
    </row>
    <row r="754" customFormat="false" ht="15" hidden="false" customHeight="false" outlineLevel="0" collapsed="false">
      <c r="A754" s="0" t="str">
        <f aca="true">IF(B754="","",IF(B754&gt;=TODAY(),B754+ROW()/100000,""))</f>
        <v/>
      </c>
      <c r="B754" s="0" t="str">
        <f aca="false">IF(Documenti!C157="","",IF(Documenti!D157&lt;=90,Documenti!C157,""))</f>
        <v/>
      </c>
      <c r="C754" s="0" t="str">
        <f aca="false">IF(B754="","","Rinnovo · "&amp;Documenti!A157)</f>
        <v/>
      </c>
      <c r="D754" s="0" t="str">
        <f aca="false">IF(B754="","",Documenti!B157)</f>
        <v/>
      </c>
      <c r="E754" s="0" t="str">
        <f aca="false">IF(B754="","","Documento")</f>
        <v/>
      </c>
      <c r="F754" s="0" t="str">
        <f aca="true">IF(B754="","",IF(B754&lt;TODAY(),B754+ROW()/100000,""))</f>
        <v/>
      </c>
    </row>
    <row r="755" customFormat="false" ht="15" hidden="false" customHeight="false" outlineLevel="0" collapsed="false">
      <c r="A755" s="0" t="str">
        <f aca="true">IF(B755="","",IF(B755&gt;=TODAY(),B755+ROW()/100000,""))</f>
        <v/>
      </c>
      <c r="B755" s="0" t="str">
        <f aca="false">IF(Documenti!C158="","",IF(Documenti!D158&lt;=90,Documenti!C158,""))</f>
        <v/>
      </c>
      <c r="C755" s="0" t="str">
        <f aca="false">IF(B755="","","Rinnovo · "&amp;Documenti!A158)</f>
        <v/>
      </c>
      <c r="D755" s="0" t="str">
        <f aca="false">IF(B755="","",Documenti!B158)</f>
        <v/>
      </c>
      <c r="E755" s="0" t="str">
        <f aca="false">IF(B755="","","Documento")</f>
        <v/>
      </c>
      <c r="F755" s="0" t="str">
        <f aca="true">IF(B755="","",IF(B755&lt;TODAY(),B755+ROW()/100000,""))</f>
        <v/>
      </c>
    </row>
    <row r="756" customFormat="false" ht="15" hidden="false" customHeight="false" outlineLevel="0" collapsed="false">
      <c r="A756" s="0" t="str">
        <f aca="true">IF(B756="","",IF(B756&gt;=TODAY(),B756+ROW()/100000,""))</f>
        <v/>
      </c>
      <c r="B756" s="0" t="str">
        <f aca="false">IF(Documenti!C159="","",IF(Documenti!D159&lt;=90,Documenti!C159,""))</f>
        <v/>
      </c>
      <c r="C756" s="0" t="str">
        <f aca="false">IF(B756="","","Rinnovo · "&amp;Documenti!A159)</f>
        <v/>
      </c>
      <c r="D756" s="0" t="str">
        <f aca="false">IF(B756="","",Documenti!B159)</f>
        <v/>
      </c>
      <c r="E756" s="0" t="str">
        <f aca="false">IF(B756="","","Documento")</f>
        <v/>
      </c>
      <c r="F756" s="0" t="str">
        <f aca="true">IF(B756="","",IF(B756&lt;TODAY(),B756+ROW()/100000,""))</f>
        <v/>
      </c>
    </row>
    <row r="757" customFormat="false" ht="15" hidden="false" customHeight="false" outlineLevel="0" collapsed="false">
      <c r="A757" s="0" t="str">
        <f aca="true">IF(B757="","",IF(B757&gt;=TODAY(),B757+ROW()/100000,""))</f>
        <v/>
      </c>
      <c r="B757" s="0" t="str">
        <f aca="false">IF(Documenti!C160="","",IF(Documenti!D160&lt;=90,Documenti!C160,""))</f>
        <v/>
      </c>
      <c r="C757" s="0" t="str">
        <f aca="false">IF(B757="","","Rinnovo · "&amp;Documenti!A160)</f>
        <v/>
      </c>
      <c r="D757" s="0" t="str">
        <f aca="false">IF(B757="","",Documenti!B160)</f>
        <v/>
      </c>
      <c r="E757" s="0" t="str">
        <f aca="false">IF(B757="","","Documento")</f>
        <v/>
      </c>
      <c r="F757" s="0" t="str">
        <f aca="true">IF(B757="","",IF(B757&lt;TODAY(),B757+ROW()/100000,""))</f>
        <v/>
      </c>
    </row>
    <row r="758" customFormat="false" ht="15" hidden="false" customHeight="false" outlineLevel="0" collapsed="false">
      <c r="A758" s="0" t="str">
        <f aca="true">IF(B758="","",IF(B758&gt;=TODAY(),B758+ROW()/100000,""))</f>
        <v/>
      </c>
      <c r="B758" s="0" t="str">
        <f aca="false">IF(Documenti!C161="","",IF(Documenti!D161&lt;=90,Documenti!C161,""))</f>
        <v/>
      </c>
      <c r="C758" s="0" t="str">
        <f aca="false">IF(B758="","","Rinnovo · "&amp;Documenti!A161)</f>
        <v/>
      </c>
      <c r="D758" s="0" t="str">
        <f aca="false">IF(B758="","",Documenti!B161)</f>
        <v/>
      </c>
      <c r="E758" s="0" t="str">
        <f aca="false">IF(B758="","","Documento")</f>
        <v/>
      </c>
      <c r="F758" s="0" t="str">
        <f aca="true">IF(B758="","",IF(B758&lt;TODAY(),B758+ROW()/100000,""))</f>
        <v/>
      </c>
    </row>
    <row r="759" customFormat="false" ht="15" hidden="false" customHeight="false" outlineLevel="0" collapsed="false">
      <c r="A759" s="0" t="str">
        <f aca="true">IF(B759="","",IF(B759&gt;=TODAY(),B759+ROW()/100000,""))</f>
        <v/>
      </c>
      <c r="B759" s="0" t="str">
        <f aca="false">IF(Documenti!C162="","",IF(Documenti!D162&lt;=90,Documenti!C162,""))</f>
        <v/>
      </c>
      <c r="C759" s="0" t="str">
        <f aca="false">IF(B759="","","Rinnovo · "&amp;Documenti!A162)</f>
        <v/>
      </c>
      <c r="D759" s="0" t="str">
        <f aca="false">IF(B759="","",Documenti!B162)</f>
        <v/>
      </c>
      <c r="E759" s="0" t="str">
        <f aca="false">IF(B759="","","Documento")</f>
        <v/>
      </c>
      <c r="F759" s="0" t="str">
        <f aca="true">IF(B759="","",IF(B759&lt;TODAY(),B759+ROW()/100000,""))</f>
        <v/>
      </c>
    </row>
    <row r="760" customFormat="false" ht="15" hidden="false" customHeight="false" outlineLevel="0" collapsed="false">
      <c r="A760" s="0" t="str">
        <f aca="true">IF(B760="","",IF(B760&gt;=TODAY(),B760+ROW()/100000,""))</f>
        <v/>
      </c>
      <c r="B760" s="0" t="str">
        <f aca="false">IF(Documenti!C163="","",IF(Documenti!D163&lt;=90,Documenti!C163,""))</f>
        <v/>
      </c>
      <c r="C760" s="0" t="str">
        <f aca="false">IF(B760="","","Rinnovo · "&amp;Documenti!A163)</f>
        <v/>
      </c>
      <c r="D760" s="0" t="str">
        <f aca="false">IF(B760="","",Documenti!B163)</f>
        <v/>
      </c>
      <c r="E760" s="0" t="str">
        <f aca="false">IF(B760="","","Documento")</f>
        <v/>
      </c>
      <c r="F760" s="0" t="str">
        <f aca="true">IF(B760="","",IF(B760&lt;TODAY(),B760+ROW()/100000,""))</f>
        <v/>
      </c>
    </row>
    <row r="761" customFormat="false" ht="15" hidden="false" customHeight="false" outlineLevel="0" collapsed="false">
      <c r="A761" s="0" t="str">
        <f aca="true">IF(B761="","",IF(B761&gt;=TODAY(),B761+ROW()/100000,""))</f>
        <v/>
      </c>
      <c r="B761" s="0" t="str">
        <f aca="false">IF(Documenti!C164="","",IF(Documenti!D164&lt;=90,Documenti!C164,""))</f>
        <v/>
      </c>
      <c r="C761" s="0" t="str">
        <f aca="false">IF(B761="","","Rinnovo · "&amp;Documenti!A164)</f>
        <v/>
      </c>
      <c r="D761" s="0" t="str">
        <f aca="false">IF(B761="","",Documenti!B164)</f>
        <v/>
      </c>
      <c r="E761" s="0" t="str">
        <f aca="false">IF(B761="","","Documento")</f>
        <v/>
      </c>
      <c r="F761" s="0" t="str">
        <f aca="true">IF(B761="","",IF(B761&lt;TODAY(),B761+ROW()/100000,""))</f>
        <v/>
      </c>
    </row>
    <row r="762" customFormat="false" ht="15" hidden="false" customHeight="false" outlineLevel="0" collapsed="false">
      <c r="A762" s="0" t="str">
        <f aca="true">IF(B762="","",IF(B762&gt;=TODAY(),B762+ROW()/100000,""))</f>
        <v/>
      </c>
      <c r="B762" s="0" t="str">
        <f aca="false">IF(Documenti!C165="","",IF(Documenti!D165&lt;=90,Documenti!C165,""))</f>
        <v/>
      </c>
      <c r="C762" s="0" t="str">
        <f aca="false">IF(B762="","","Rinnovo · "&amp;Documenti!A165)</f>
        <v/>
      </c>
      <c r="D762" s="0" t="str">
        <f aca="false">IF(B762="","",Documenti!B165)</f>
        <v/>
      </c>
      <c r="E762" s="0" t="str">
        <f aca="false">IF(B762="","","Documento")</f>
        <v/>
      </c>
      <c r="F762" s="0" t="str">
        <f aca="true">IF(B762="","",IF(B762&lt;TODAY(),B762+ROW()/100000,""))</f>
        <v/>
      </c>
    </row>
    <row r="763" customFormat="false" ht="15" hidden="false" customHeight="false" outlineLevel="0" collapsed="false">
      <c r="A763" s="0" t="str">
        <f aca="true">IF(B763="","",IF(B763&gt;=TODAY(),B763+ROW()/100000,""))</f>
        <v/>
      </c>
      <c r="B763" s="0" t="str">
        <f aca="false">IF(Documenti!C166="","",IF(Documenti!D166&lt;=90,Documenti!C166,""))</f>
        <v/>
      </c>
      <c r="C763" s="0" t="str">
        <f aca="false">IF(B763="","","Rinnovo · "&amp;Documenti!A166)</f>
        <v/>
      </c>
      <c r="D763" s="0" t="str">
        <f aca="false">IF(B763="","",Documenti!B166)</f>
        <v/>
      </c>
      <c r="E763" s="0" t="str">
        <f aca="false">IF(B763="","","Documento")</f>
        <v/>
      </c>
      <c r="F763" s="0" t="str">
        <f aca="true">IF(B763="","",IF(B763&lt;TODAY(),B763+ROW()/100000,""))</f>
        <v/>
      </c>
    </row>
    <row r="764" customFormat="false" ht="15" hidden="false" customHeight="false" outlineLevel="0" collapsed="false">
      <c r="A764" s="0" t="str">
        <f aca="true">IF(B764="","",IF(B764&gt;=TODAY(),B764+ROW()/100000,""))</f>
        <v/>
      </c>
      <c r="B764" s="0" t="str">
        <f aca="false">IF(Documenti!C167="","",IF(Documenti!D167&lt;=90,Documenti!C167,""))</f>
        <v/>
      </c>
      <c r="C764" s="0" t="str">
        <f aca="false">IF(B764="","","Rinnovo · "&amp;Documenti!A167)</f>
        <v/>
      </c>
      <c r="D764" s="0" t="str">
        <f aca="false">IF(B764="","",Documenti!B167)</f>
        <v/>
      </c>
      <c r="E764" s="0" t="str">
        <f aca="false">IF(B764="","","Documento")</f>
        <v/>
      </c>
      <c r="F764" s="0" t="str">
        <f aca="true">IF(B764="","",IF(B764&lt;TODAY(),B764+ROW()/100000,""))</f>
        <v/>
      </c>
    </row>
    <row r="765" customFormat="false" ht="15" hidden="false" customHeight="false" outlineLevel="0" collapsed="false">
      <c r="A765" s="0" t="str">
        <f aca="true">IF(B765="","",IF(B765&gt;=TODAY(),B765+ROW()/100000,""))</f>
        <v/>
      </c>
      <c r="B765" s="0" t="str">
        <f aca="false">IF(Documenti!C168="","",IF(Documenti!D168&lt;=90,Documenti!C168,""))</f>
        <v/>
      </c>
      <c r="C765" s="0" t="str">
        <f aca="false">IF(B765="","","Rinnovo · "&amp;Documenti!A168)</f>
        <v/>
      </c>
      <c r="D765" s="0" t="str">
        <f aca="false">IF(B765="","",Documenti!B168)</f>
        <v/>
      </c>
      <c r="E765" s="0" t="str">
        <f aca="false">IF(B765="","","Documento")</f>
        <v/>
      </c>
      <c r="F765" s="0" t="str">
        <f aca="true">IF(B765="","",IF(B765&lt;TODAY(),B765+ROW()/100000,""))</f>
        <v/>
      </c>
    </row>
    <row r="766" customFormat="false" ht="15" hidden="false" customHeight="false" outlineLevel="0" collapsed="false">
      <c r="A766" s="0" t="str">
        <f aca="true">IF(B766="","",IF(B766&gt;=TODAY(),B766+ROW()/100000,""))</f>
        <v/>
      </c>
      <c r="B766" s="0" t="str">
        <f aca="false">IF(Documenti!C169="","",IF(Documenti!D169&lt;=90,Documenti!C169,""))</f>
        <v/>
      </c>
      <c r="C766" s="0" t="str">
        <f aca="false">IF(B766="","","Rinnovo · "&amp;Documenti!A169)</f>
        <v/>
      </c>
      <c r="D766" s="0" t="str">
        <f aca="false">IF(B766="","",Documenti!B169)</f>
        <v/>
      </c>
      <c r="E766" s="0" t="str">
        <f aca="false">IF(B766="","","Documento")</f>
        <v/>
      </c>
      <c r="F766" s="0" t="str">
        <f aca="true">IF(B766="","",IF(B766&lt;TODAY(),B766+ROW()/100000,""))</f>
        <v/>
      </c>
    </row>
    <row r="767" customFormat="false" ht="15" hidden="false" customHeight="false" outlineLevel="0" collapsed="false">
      <c r="A767" s="0" t="str">
        <f aca="true">IF(B767="","",IF(B767&gt;=TODAY(),B767+ROW()/100000,""))</f>
        <v/>
      </c>
      <c r="B767" s="0" t="str">
        <f aca="false">IF(Documenti!C170="","",IF(Documenti!D170&lt;=90,Documenti!C170,""))</f>
        <v/>
      </c>
      <c r="C767" s="0" t="str">
        <f aca="false">IF(B767="","","Rinnovo · "&amp;Documenti!A170)</f>
        <v/>
      </c>
      <c r="D767" s="0" t="str">
        <f aca="false">IF(B767="","",Documenti!B170)</f>
        <v/>
      </c>
      <c r="E767" s="0" t="str">
        <f aca="false">IF(B767="","","Documento")</f>
        <v/>
      </c>
      <c r="F767" s="0" t="str">
        <f aca="true">IF(B767="","",IF(B767&lt;TODAY(),B767+ROW()/100000,""))</f>
        <v/>
      </c>
    </row>
    <row r="768" customFormat="false" ht="15" hidden="false" customHeight="false" outlineLevel="0" collapsed="false">
      <c r="A768" s="0" t="str">
        <f aca="true">IF(B768="","",IF(B768&gt;=TODAY(),B768+ROW()/100000,""))</f>
        <v/>
      </c>
      <c r="B768" s="0" t="str">
        <f aca="false">IF(Documenti!C171="","",IF(Documenti!D171&lt;=90,Documenti!C171,""))</f>
        <v/>
      </c>
      <c r="C768" s="0" t="str">
        <f aca="false">IF(B768="","","Rinnovo · "&amp;Documenti!A171)</f>
        <v/>
      </c>
      <c r="D768" s="0" t="str">
        <f aca="false">IF(B768="","",Documenti!B171)</f>
        <v/>
      </c>
      <c r="E768" s="0" t="str">
        <f aca="false">IF(B768="","","Documento")</f>
        <v/>
      </c>
      <c r="F768" s="0" t="str">
        <f aca="true">IF(B768="","",IF(B768&lt;TODAY(),B768+ROW()/100000,""))</f>
        <v/>
      </c>
    </row>
    <row r="769" customFormat="false" ht="15" hidden="false" customHeight="false" outlineLevel="0" collapsed="false">
      <c r="A769" s="0" t="str">
        <f aca="true">IF(B769="","",IF(B769&gt;=TODAY(),B769+ROW()/100000,""))</f>
        <v/>
      </c>
      <c r="B769" s="0" t="str">
        <f aca="false">IF(Documenti!C172="","",IF(Documenti!D172&lt;=90,Documenti!C172,""))</f>
        <v/>
      </c>
      <c r="C769" s="0" t="str">
        <f aca="false">IF(B769="","","Rinnovo · "&amp;Documenti!A172)</f>
        <v/>
      </c>
      <c r="D769" s="0" t="str">
        <f aca="false">IF(B769="","",Documenti!B172)</f>
        <v/>
      </c>
      <c r="E769" s="0" t="str">
        <f aca="false">IF(B769="","","Documento")</f>
        <v/>
      </c>
      <c r="F769" s="0" t="str">
        <f aca="true">IF(B769="","",IF(B769&lt;TODAY(),B769+ROW()/100000,""))</f>
        <v/>
      </c>
    </row>
    <row r="770" customFormat="false" ht="15" hidden="false" customHeight="false" outlineLevel="0" collapsed="false">
      <c r="A770" s="0" t="str">
        <f aca="true">IF(B770="","",IF(B770&gt;=TODAY(),B770+ROW()/100000,""))</f>
        <v/>
      </c>
      <c r="B770" s="0" t="str">
        <f aca="false">IF(Documenti!C173="","",IF(Documenti!D173&lt;=90,Documenti!C173,""))</f>
        <v/>
      </c>
      <c r="C770" s="0" t="str">
        <f aca="false">IF(B770="","","Rinnovo · "&amp;Documenti!A173)</f>
        <v/>
      </c>
      <c r="D770" s="0" t="str">
        <f aca="false">IF(B770="","",Documenti!B173)</f>
        <v/>
      </c>
      <c r="E770" s="0" t="str">
        <f aca="false">IF(B770="","","Documento")</f>
        <v/>
      </c>
      <c r="F770" s="0" t="str">
        <f aca="true">IF(B770="","",IF(B770&lt;TODAY(),B770+ROW()/100000,""))</f>
        <v/>
      </c>
    </row>
    <row r="771" customFormat="false" ht="15" hidden="false" customHeight="false" outlineLevel="0" collapsed="false">
      <c r="A771" s="0" t="str">
        <f aca="true">IF(B771="","",IF(B771&gt;=TODAY(),B771+ROW()/100000,""))</f>
        <v/>
      </c>
      <c r="B771" s="0" t="str">
        <f aca="false">IF(Documenti!C174="","",IF(Documenti!D174&lt;=90,Documenti!C174,""))</f>
        <v/>
      </c>
      <c r="C771" s="0" t="str">
        <f aca="false">IF(B771="","","Rinnovo · "&amp;Documenti!A174)</f>
        <v/>
      </c>
      <c r="D771" s="0" t="str">
        <f aca="false">IF(B771="","",Documenti!B174)</f>
        <v/>
      </c>
      <c r="E771" s="0" t="str">
        <f aca="false">IF(B771="","","Documento")</f>
        <v/>
      </c>
      <c r="F771" s="0" t="str">
        <f aca="true">IF(B771="","",IF(B771&lt;TODAY(),B771+ROW()/100000,""))</f>
        <v/>
      </c>
    </row>
    <row r="772" customFormat="false" ht="15" hidden="false" customHeight="false" outlineLevel="0" collapsed="false">
      <c r="A772" s="0" t="str">
        <f aca="true">IF(B772="","",IF(B772&gt;=TODAY(),B772+ROW()/100000,""))</f>
        <v/>
      </c>
      <c r="B772" s="0" t="str">
        <f aca="false">IF(Documenti!C175="","",IF(Documenti!D175&lt;=90,Documenti!C175,""))</f>
        <v/>
      </c>
      <c r="C772" s="0" t="str">
        <f aca="false">IF(B772="","","Rinnovo · "&amp;Documenti!A175)</f>
        <v/>
      </c>
      <c r="D772" s="0" t="str">
        <f aca="false">IF(B772="","",Documenti!B175)</f>
        <v/>
      </c>
      <c r="E772" s="0" t="str">
        <f aca="false">IF(B772="","","Documento")</f>
        <v/>
      </c>
      <c r="F772" s="0" t="str">
        <f aca="true">IF(B772="","",IF(B772&lt;TODAY(),B772+ROW()/100000,""))</f>
        <v/>
      </c>
    </row>
    <row r="773" customFormat="false" ht="15" hidden="false" customHeight="false" outlineLevel="0" collapsed="false">
      <c r="A773" s="0" t="str">
        <f aca="true">IF(B773="","",IF(B773&gt;=TODAY(),B773+ROW()/100000,""))</f>
        <v/>
      </c>
      <c r="B773" s="0" t="str">
        <f aca="false">IF(Documenti!C176="","",IF(Documenti!D176&lt;=90,Documenti!C176,""))</f>
        <v/>
      </c>
      <c r="C773" s="0" t="str">
        <f aca="false">IF(B773="","","Rinnovo · "&amp;Documenti!A176)</f>
        <v/>
      </c>
      <c r="D773" s="0" t="str">
        <f aca="false">IF(B773="","",Documenti!B176)</f>
        <v/>
      </c>
      <c r="E773" s="0" t="str">
        <f aca="false">IF(B773="","","Documento")</f>
        <v/>
      </c>
      <c r="F773" s="0" t="str">
        <f aca="true">IF(B773="","",IF(B773&lt;TODAY(),B773+ROW()/100000,""))</f>
        <v/>
      </c>
    </row>
    <row r="774" customFormat="false" ht="15" hidden="false" customHeight="false" outlineLevel="0" collapsed="false">
      <c r="A774" s="0" t="str">
        <f aca="true">IF(B774="","",IF(B774&gt;=TODAY(),B774+ROW()/100000,""))</f>
        <v/>
      </c>
      <c r="B774" s="0" t="str">
        <f aca="false">IF(Documenti!C177="","",IF(Documenti!D177&lt;=90,Documenti!C177,""))</f>
        <v/>
      </c>
      <c r="C774" s="0" t="str">
        <f aca="false">IF(B774="","","Rinnovo · "&amp;Documenti!A177)</f>
        <v/>
      </c>
      <c r="D774" s="0" t="str">
        <f aca="false">IF(B774="","",Documenti!B177)</f>
        <v/>
      </c>
      <c r="E774" s="0" t="str">
        <f aca="false">IF(B774="","","Documento")</f>
        <v/>
      </c>
      <c r="F774" s="0" t="str">
        <f aca="true">IF(B774="","",IF(B774&lt;TODAY(),B774+ROW()/100000,""))</f>
        <v/>
      </c>
    </row>
    <row r="775" customFormat="false" ht="15" hidden="false" customHeight="false" outlineLevel="0" collapsed="false">
      <c r="A775" s="0" t="str">
        <f aca="true">IF(B775="","",IF(B775&gt;=TODAY(),B775+ROW()/100000,""))</f>
        <v/>
      </c>
      <c r="B775" s="0" t="str">
        <f aca="false">IF(Documenti!C178="","",IF(Documenti!D178&lt;=90,Documenti!C178,""))</f>
        <v/>
      </c>
      <c r="C775" s="0" t="str">
        <f aca="false">IF(B775="","","Rinnovo · "&amp;Documenti!A178)</f>
        <v/>
      </c>
      <c r="D775" s="0" t="str">
        <f aca="false">IF(B775="","",Documenti!B178)</f>
        <v/>
      </c>
      <c r="E775" s="0" t="str">
        <f aca="false">IF(B775="","","Documento")</f>
        <v/>
      </c>
      <c r="F775" s="0" t="str">
        <f aca="true">IF(B775="","",IF(B775&lt;TODAY(),B775+ROW()/100000,""))</f>
        <v/>
      </c>
    </row>
    <row r="776" customFormat="false" ht="15" hidden="false" customHeight="false" outlineLevel="0" collapsed="false">
      <c r="A776" s="0" t="str">
        <f aca="true">IF(B776="","",IF(B776&gt;=TODAY(),B776+ROW()/100000,""))</f>
        <v/>
      </c>
      <c r="B776" s="0" t="str">
        <f aca="false">IF(Documenti!C179="","",IF(Documenti!D179&lt;=90,Documenti!C179,""))</f>
        <v/>
      </c>
      <c r="C776" s="0" t="str">
        <f aca="false">IF(B776="","","Rinnovo · "&amp;Documenti!A179)</f>
        <v/>
      </c>
      <c r="D776" s="0" t="str">
        <f aca="false">IF(B776="","",Documenti!B179)</f>
        <v/>
      </c>
      <c r="E776" s="0" t="str">
        <f aca="false">IF(B776="","","Documento")</f>
        <v/>
      </c>
      <c r="F776" s="0" t="str">
        <f aca="true">IF(B776="","",IF(B776&lt;TODAY(),B776+ROW()/100000,""))</f>
        <v/>
      </c>
    </row>
    <row r="777" customFormat="false" ht="15" hidden="false" customHeight="false" outlineLevel="0" collapsed="false">
      <c r="A777" s="0" t="str">
        <f aca="true">IF(B777="","",IF(B777&gt;=TODAY(),B777+ROW()/100000,""))</f>
        <v/>
      </c>
      <c r="B777" s="0" t="str">
        <f aca="false">IF(Documenti!C180="","",IF(Documenti!D180&lt;=90,Documenti!C180,""))</f>
        <v/>
      </c>
      <c r="C777" s="0" t="str">
        <f aca="false">IF(B777="","","Rinnovo · "&amp;Documenti!A180)</f>
        <v/>
      </c>
      <c r="D777" s="0" t="str">
        <f aca="false">IF(B777="","",Documenti!B180)</f>
        <v/>
      </c>
      <c r="E777" s="0" t="str">
        <f aca="false">IF(B777="","","Documento")</f>
        <v/>
      </c>
      <c r="F777" s="0" t="str">
        <f aca="true">IF(B777="","",IF(B777&lt;TODAY(),B777+ROW()/100000,""))</f>
        <v/>
      </c>
    </row>
    <row r="778" customFormat="false" ht="15" hidden="false" customHeight="false" outlineLevel="0" collapsed="false">
      <c r="A778" s="0" t="str">
        <f aca="true">IF(B778="","",IF(B778&gt;=TODAY(),B778+ROW()/100000,""))</f>
        <v/>
      </c>
      <c r="B778" s="0" t="str">
        <f aca="false">IF(Documenti!C181="","",IF(Documenti!D181&lt;=90,Documenti!C181,""))</f>
        <v/>
      </c>
      <c r="C778" s="0" t="str">
        <f aca="false">IF(B778="","","Rinnovo · "&amp;Documenti!A181)</f>
        <v/>
      </c>
      <c r="D778" s="0" t="str">
        <f aca="false">IF(B778="","",Documenti!B181)</f>
        <v/>
      </c>
      <c r="E778" s="0" t="str">
        <f aca="false">IF(B778="","","Documento")</f>
        <v/>
      </c>
      <c r="F778" s="0" t="str">
        <f aca="true">IF(B778="","",IF(B778&lt;TODAY(),B778+ROW()/100000,""))</f>
        <v/>
      </c>
    </row>
    <row r="779" customFormat="false" ht="15" hidden="false" customHeight="false" outlineLevel="0" collapsed="false">
      <c r="A779" s="0" t="str">
        <f aca="true">IF(B779="","",IF(B779&gt;=TODAY(),B779+ROW()/100000,""))</f>
        <v/>
      </c>
      <c r="B779" s="0" t="str">
        <f aca="false">IF(Documenti!C182="","",IF(Documenti!D182&lt;=90,Documenti!C182,""))</f>
        <v/>
      </c>
      <c r="C779" s="0" t="str">
        <f aca="false">IF(B779="","","Rinnovo · "&amp;Documenti!A182)</f>
        <v/>
      </c>
      <c r="D779" s="0" t="str">
        <f aca="false">IF(B779="","",Documenti!B182)</f>
        <v/>
      </c>
      <c r="E779" s="0" t="str">
        <f aca="false">IF(B779="","","Documento")</f>
        <v/>
      </c>
      <c r="F779" s="0" t="str">
        <f aca="true">IF(B779="","",IF(B779&lt;TODAY(),B779+ROW()/100000,""))</f>
        <v/>
      </c>
    </row>
    <row r="780" customFormat="false" ht="15" hidden="false" customHeight="false" outlineLevel="0" collapsed="false">
      <c r="A780" s="0" t="str">
        <f aca="true">IF(B780="","",IF(B780&gt;=TODAY(),B780+ROW()/100000,""))</f>
        <v/>
      </c>
      <c r="B780" s="0" t="str">
        <f aca="false">IF(Documenti!C183="","",IF(Documenti!D183&lt;=90,Documenti!C183,""))</f>
        <v/>
      </c>
      <c r="C780" s="0" t="str">
        <f aca="false">IF(B780="","","Rinnovo · "&amp;Documenti!A183)</f>
        <v/>
      </c>
      <c r="D780" s="0" t="str">
        <f aca="false">IF(B780="","",Documenti!B183)</f>
        <v/>
      </c>
      <c r="E780" s="0" t="str">
        <f aca="false">IF(B780="","","Documento")</f>
        <v/>
      </c>
      <c r="F780" s="0" t="str">
        <f aca="true">IF(B780="","",IF(B780&lt;TODAY(),B780+ROW()/100000,""))</f>
        <v/>
      </c>
    </row>
    <row r="781" customFormat="false" ht="15" hidden="false" customHeight="false" outlineLevel="0" collapsed="false">
      <c r="A781" s="0" t="str">
        <f aca="true">IF(B781="","",IF(B781&gt;=TODAY(),B781+ROW()/100000,""))</f>
        <v/>
      </c>
      <c r="B781" s="0" t="str">
        <f aca="false">IF(Documenti!C184="","",IF(Documenti!D184&lt;=90,Documenti!C184,""))</f>
        <v/>
      </c>
      <c r="C781" s="0" t="str">
        <f aca="false">IF(B781="","","Rinnovo · "&amp;Documenti!A184)</f>
        <v/>
      </c>
      <c r="D781" s="0" t="str">
        <f aca="false">IF(B781="","",Documenti!B184)</f>
        <v/>
      </c>
      <c r="E781" s="0" t="str">
        <f aca="false">IF(B781="","","Documento")</f>
        <v/>
      </c>
      <c r="F781" s="0" t="str">
        <f aca="true">IF(B781="","",IF(B781&lt;TODAY(),B781+ROW()/100000,""))</f>
        <v/>
      </c>
    </row>
    <row r="782" customFormat="false" ht="15" hidden="false" customHeight="false" outlineLevel="0" collapsed="false">
      <c r="A782" s="0" t="str">
        <f aca="true">IF(B782="","",IF(B782&gt;=TODAY(),B782+ROW()/100000,""))</f>
        <v/>
      </c>
      <c r="B782" s="0" t="str">
        <f aca="false">IF(Documenti!C185="","",IF(Documenti!D185&lt;=90,Documenti!C185,""))</f>
        <v/>
      </c>
      <c r="C782" s="0" t="str">
        <f aca="false">IF(B782="","","Rinnovo · "&amp;Documenti!A185)</f>
        <v/>
      </c>
      <c r="D782" s="0" t="str">
        <f aca="false">IF(B782="","",Documenti!B185)</f>
        <v/>
      </c>
      <c r="E782" s="0" t="str">
        <f aca="false">IF(B782="","","Documento")</f>
        <v/>
      </c>
      <c r="F782" s="0" t="str">
        <f aca="true">IF(B782="","",IF(B782&lt;TODAY(),B782+ROW()/100000,""))</f>
        <v/>
      </c>
    </row>
    <row r="783" customFormat="false" ht="15" hidden="false" customHeight="false" outlineLevel="0" collapsed="false">
      <c r="A783" s="0" t="str">
        <f aca="true">IF(B783="","",IF(B783&gt;=TODAY(),B783+ROW()/100000,""))</f>
        <v/>
      </c>
      <c r="B783" s="0" t="str">
        <f aca="false">IF(Documenti!C186="","",IF(Documenti!D186&lt;=90,Documenti!C186,""))</f>
        <v/>
      </c>
      <c r="C783" s="0" t="str">
        <f aca="false">IF(B783="","","Rinnovo · "&amp;Documenti!A186)</f>
        <v/>
      </c>
      <c r="D783" s="0" t="str">
        <f aca="false">IF(B783="","",Documenti!B186)</f>
        <v/>
      </c>
      <c r="E783" s="0" t="str">
        <f aca="false">IF(B783="","","Documento")</f>
        <v/>
      </c>
      <c r="F783" s="0" t="str">
        <f aca="true">IF(B783="","",IF(B783&lt;TODAY(),B783+ROW()/100000,""))</f>
        <v/>
      </c>
    </row>
    <row r="784" customFormat="false" ht="15" hidden="false" customHeight="false" outlineLevel="0" collapsed="false">
      <c r="A784" s="0" t="str">
        <f aca="true">IF(B784="","",IF(B784&gt;=TODAY(),B784+ROW()/100000,""))</f>
        <v/>
      </c>
      <c r="B784" s="0" t="str">
        <f aca="false">IF(Documenti!C187="","",IF(Documenti!D187&lt;=90,Documenti!C187,""))</f>
        <v/>
      </c>
      <c r="C784" s="0" t="str">
        <f aca="false">IF(B784="","","Rinnovo · "&amp;Documenti!A187)</f>
        <v/>
      </c>
      <c r="D784" s="0" t="str">
        <f aca="false">IF(B784="","",Documenti!B187)</f>
        <v/>
      </c>
      <c r="E784" s="0" t="str">
        <f aca="false">IF(B784="","","Documento")</f>
        <v/>
      </c>
      <c r="F784" s="0" t="str">
        <f aca="true">IF(B784="","",IF(B784&lt;TODAY(),B784+ROW()/100000,""))</f>
        <v/>
      </c>
    </row>
    <row r="785" customFormat="false" ht="15" hidden="false" customHeight="false" outlineLevel="0" collapsed="false">
      <c r="A785" s="0" t="str">
        <f aca="true">IF(B785="","",IF(B785&gt;=TODAY(),B785+ROW()/100000,""))</f>
        <v/>
      </c>
      <c r="B785" s="0" t="str">
        <f aca="false">IF(Documenti!C188="","",IF(Documenti!D188&lt;=90,Documenti!C188,""))</f>
        <v/>
      </c>
      <c r="C785" s="0" t="str">
        <f aca="false">IF(B785="","","Rinnovo · "&amp;Documenti!A188)</f>
        <v/>
      </c>
      <c r="D785" s="0" t="str">
        <f aca="false">IF(B785="","",Documenti!B188)</f>
        <v/>
      </c>
      <c r="E785" s="0" t="str">
        <f aca="false">IF(B785="","","Documento")</f>
        <v/>
      </c>
      <c r="F785" s="0" t="str">
        <f aca="true">IF(B785="","",IF(B785&lt;TODAY(),B785+ROW()/100000,""))</f>
        <v/>
      </c>
    </row>
    <row r="786" customFormat="false" ht="15" hidden="false" customHeight="false" outlineLevel="0" collapsed="false">
      <c r="A786" s="0" t="str">
        <f aca="true">IF(B786="","",IF(B786&gt;=TODAY(),B786+ROW()/100000,""))</f>
        <v/>
      </c>
      <c r="B786" s="0" t="str">
        <f aca="false">IF(Documenti!C189="","",IF(Documenti!D189&lt;=90,Documenti!C189,""))</f>
        <v/>
      </c>
      <c r="C786" s="0" t="str">
        <f aca="false">IF(B786="","","Rinnovo · "&amp;Documenti!A189)</f>
        <v/>
      </c>
      <c r="D786" s="0" t="str">
        <f aca="false">IF(B786="","",Documenti!B189)</f>
        <v/>
      </c>
      <c r="E786" s="0" t="str">
        <f aca="false">IF(B786="","","Documento")</f>
        <v/>
      </c>
      <c r="F786" s="0" t="str">
        <f aca="true">IF(B786="","",IF(B786&lt;TODAY(),B786+ROW()/100000,""))</f>
        <v/>
      </c>
    </row>
    <row r="787" customFormat="false" ht="15" hidden="false" customHeight="false" outlineLevel="0" collapsed="false">
      <c r="A787" s="0" t="str">
        <f aca="true">IF(B787="","",IF(B787&gt;=TODAY(),B787+ROW()/100000,""))</f>
        <v/>
      </c>
      <c r="B787" s="0" t="str">
        <f aca="false">IF(Documenti!C190="","",IF(Documenti!D190&lt;=90,Documenti!C190,""))</f>
        <v/>
      </c>
      <c r="C787" s="0" t="str">
        <f aca="false">IF(B787="","","Rinnovo · "&amp;Documenti!A190)</f>
        <v/>
      </c>
      <c r="D787" s="0" t="str">
        <f aca="false">IF(B787="","",Documenti!B190)</f>
        <v/>
      </c>
      <c r="E787" s="0" t="str">
        <f aca="false">IF(B787="","","Documento")</f>
        <v/>
      </c>
      <c r="F787" s="0" t="str">
        <f aca="true">IF(B787="","",IF(B787&lt;TODAY(),B787+ROW()/100000,""))</f>
        <v/>
      </c>
    </row>
    <row r="788" customFormat="false" ht="15" hidden="false" customHeight="false" outlineLevel="0" collapsed="false">
      <c r="A788" s="0" t="str">
        <f aca="true">IF(B788="","",IF(B788&gt;=TODAY(),B788+ROW()/100000,""))</f>
        <v/>
      </c>
      <c r="B788" s="0" t="str">
        <f aca="false">IF(Documenti!C191="","",IF(Documenti!D191&lt;=90,Documenti!C191,""))</f>
        <v/>
      </c>
      <c r="C788" s="0" t="str">
        <f aca="false">IF(B788="","","Rinnovo · "&amp;Documenti!A191)</f>
        <v/>
      </c>
      <c r="D788" s="0" t="str">
        <f aca="false">IF(B788="","",Documenti!B191)</f>
        <v/>
      </c>
      <c r="E788" s="0" t="str">
        <f aca="false">IF(B788="","","Documento")</f>
        <v/>
      </c>
      <c r="F788" s="0" t="str">
        <f aca="true">IF(B788="","",IF(B788&lt;TODAY(),B788+ROW()/100000,""))</f>
        <v/>
      </c>
    </row>
    <row r="789" customFormat="false" ht="15" hidden="false" customHeight="false" outlineLevel="0" collapsed="false">
      <c r="A789" s="0" t="str">
        <f aca="true">IF(B789="","",IF(B789&gt;=TODAY(),B789+ROW()/100000,""))</f>
        <v/>
      </c>
      <c r="B789" s="0" t="str">
        <f aca="false">IF(Documenti!C192="","",IF(Documenti!D192&lt;=90,Documenti!C192,""))</f>
        <v/>
      </c>
      <c r="C789" s="0" t="str">
        <f aca="false">IF(B789="","","Rinnovo · "&amp;Documenti!A192)</f>
        <v/>
      </c>
      <c r="D789" s="0" t="str">
        <f aca="false">IF(B789="","",Documenti!B192)</f>
        <v/>
      </c>
      <c r="E789" s="0" t="str">
        <f aca="false">IF(B789="","","Documento")</f>
        <v/>
      </c>
      <c r="F789" s="0" t="str">
        <f aca="true">IF(B789="","",IF(B789&lt;TODAY(),B789+ROW()/100000,""))</f>
        <v/>
      </c>
    </row>
    <row r="790" customFormat="false" ht="15" hidden="false" customHeight="false" outlineLevel="0" collapsed="false">
      <c r="A790" s="0" t="str">
        <f aca="true">IF(B790="","",IF(B790&gt;=TODAY(),B790+ROW()/100000,""))</f>
        <v/>
      </c>
      <c r="B790" s="0" t="str">
        <f aca="false">IF(Documenti!C193="","",IF(Documenti!D193&lt;=90,Documenti!C193,""))</f>
        <v/>
      </c>
      <c r="C790" s="0" t="str">
        <f aca="false">IF(B790="","","Rinnovo · "&amp;Documenti!A193)</f>
        <v/>
      </c>
      <c r="D790" s="0" t="str">
        <f aca="false">IF(B790="","",Documenti!B193)</f>
        <v/>
      </c>
      <c r="E790" s="0" t="str">
        <f aca="false">IF(B790="","","Documento")</f>
        <v/>
      </c>
      <c r="F790" s="0" t="str">
        <f aca="true">IF(B790="","",IF(B790&lt;TODAY(),B790+ROW()/100000,""))</f>
        <v/>
      </c>
    </row>
    <row r="791" customFormat="false" ht="15" hidden="false" customHeight="false" outlineLevel="0" collapsed="false">
      <c r="A791" s="0" t="str">
        <f aca="true">IF(B791="","",IF(B791&gt;=TODAY(),B791+ROW()/100000,""))</f>
        <v/>
      </c>
      <c r="B791" s="0" t="str">
        <f aca="false">IF(Documenti!C194="","",IF(Documenti!D194&lt;=90,Documenti!C194,""))</f>
        <v/>
      </c>
      <c r="C791" s="0" t="str">
        <f aca="false">IF(B791="","","Rinnovo · "&amp;Documenti!A194)</f>
        <v/>
      </c>
      <c r="D791" s="0" t="str">
        <f aca="false">IF(B791="","",Documenti!B194)</f>
        <v/>
      </c>
      <c r="E791" s="0" t="str">
        <f aca="false">IF(B791="","","Documento")</f>
        <v/>
      </c>
      <c r="F791" s="0" t="str">
        <f aca="true">IF(B791="","",IF(B791&lt;TODAY(),B791+ROW()/100000,""))</f>
        <v/>
      </c>
    </row>
    <row r="792" customFormat="false" ht="15" hidden="false" customHeight="false" outlineLevel="0" collapsed="false">
      <c r="A792" s="0" t="str">
        <f aca="true">IF(B792="","",IF(B792&gt;=TODAY(),B792+ROW()/100000,""))</f>
        <v/>
      </c>
      <c r="B792" s="0" t="str">
        <f aca="false">IF(Documenti!C195="","",IF(Documenti!D195&lt;=90,Documenti!C195,""))</f>
        <v/>
      </c>
      <c r="C792" s="0" t="str">
        <f aca="false">IF(B792="","","Rinnovo · "&amp;Documenti!A195)</f>
        <v/>
      </c>
      <c r="D792" s="0" t="str">
        <f aca="false">IF(B792="","",Documenti!B195)</f>
        <v/>
      </c>
      <c r="E792" s="0" t="str">
        <f aca="false">IF(B792="","","Documento")</f>
        <v/>
      </c>
      <c r="F792" s="0" t="str">
        <f aca="true">IF(B792="","",IF(B792&lt;TODAY(),B792+ROW()/100000,""))</f>
        <v/>
      </c>
    </row>
    <row r="793" customFormat="false" ht="15" hidden="false" customHeight="false" outlineLevel="0" collapsed="false">
      <c r="A793" s="0" t="str">
        <f aca="true">IF(B793="","",IF(B793&gt;=TODAY(),B793+ROW()/100000,""))</f>
        <v/>
      </c>
      <c r="B793" s="0" t="str">
        <f aca="false">IF(Documenti!C196="","",IF(Documenti!D196&lt;=90,Documenti!C196,""))</f>
        <v/>
      </c>
      <c r="C793" s="0" t="str">
        <f aca="false">IF(B793="","","Rinnovo · "&amp;Documenti!A196)</f>
        <v/>
      </c>
      <c r="D793" s="0" t="str">
        <f aca="false">IF(B793="","",Documenti!B196)</f>
        <v/>
      </c>
      <c r="E793" s="0" t="str">
        <f aca="false">IF(B793="","","Documento")</f>
        <v/>
      </c>
      <c r="F793" s="0" t="str">
        <f aca="true">IF(B793="","",IF(B793&lt;TODAY(),B793+ROW()/100000,""))</f>
        <v/>
      </c>
    </row>
    <row r="794" customFormat="false" ht="15" hidden="false" customHeight="false" outlineLevel="0" collapsed="false">
      <c r="A794" s="0" t="str">
        <f aca="true">IF(B794="","",IF(B794&gt;=TODAY(),B794+ROW()/100000,""))</f>
        <v/>
      </c>
      <c r="B794" s="0" t="str">
        <f aca="false">IF(Documenti!C197="","",IF(Documenti!D197&lt;=90,Documenti!C197,""))</f>
        <v/>
      </c>
      <c r="C794" s="0" t="str">
        <f aca="false">IF(B794="","","Rinnovo · "&amp;Documenti!A197)</f>
        <v/>
      </c>
      <c r="D794" s="0" t="str">
        <f aca="false">IF(B794="","",Documenti!B197)</f>
        <v/>
      </c>
      <c r="E794" s="0" t="str">
        <f aca="false">IF(B794="","","Documento")</f>
        <v/>
      </c>
      <c r="F794" s="0" t="str">
        <f aca="true">IF(B794="","",IF(B794&lt;TODAY(),B794+ROW()/100000,""))</f>
        <v/>
      </c>
    </row>
    <row r="795" customFormat="false" ht="15" hidden="false" customHeight="false" outlineLevel="0" collapsed="false">
      <c r="A795" s="0" t="str">
        <f aca="true">IF(B795="","",IF(B795&gt;=TODAY(),B795+ROW()/100000,""))</f>
        <v/>
      </c>
      <c r="B795" s="0" t="str">
        <f aca="false">IF(Documenti!C198="","",IF(Documenti!D198&lt;=90,Documenti!C198,""))</f>
        <v/>
      </c>
      <c r="C795" s="0" t="str">
        <f aca="false">IF(B795="","","Rinnovo · "&amp;Documenti!A198)</f>
        <v/>
      </c>
      <c r="D795" s="0" t="str">
        <f aca="false">IF(B795="","",Documenti!B198)</f>
        <v/>
      </c>
      <c r="E795" s="0" t="str">
        <f aca="false">IF(B795="","","Documento")</f>
        <v/>
      </c>
      <c r="F795" s="0" t="str">
        <f aca="true">IF(B795="","",IF(B795&lt;TODAY(),B795+ROW()/100000,""))</f>
        <v/>
      </c>
    </row>
    <row r="796" customFormat="false" ht="15" hidden="false" customHeight="false" outlineLevel="0" collapsed="false">
      <c r="A796" s="0" t="str">
        <f aca="true">IF(B796="","",IF(B796&gt;=TODAY(),B796+ROW()/100000,""))</f>
        <v/>
      </c>
      <c r="B796" s="0" t="str">
        <f aca="false">IF(Documenti!C199="","",IF(Documenti!D199&lt;=90,Documenti!C199,""))</f>
        <v/>
      </c>
      <c r="C796" s="0" t="str">
        <f aca="false">IF(B796="","","Rinnovo · "&amp;Documenti!A199)</f>
        <v/>
      </c>
      <c r="D796" s="0" t="str">
        <f aca="false">IF(B796="","",Documenti!B199)</f>
        <v/>
      </c>
      <c r="E796" s="0" t="str">
        <f aca="false">IF(B796="","","Documento")</f>
        <v/>
      </c>
      <c r="F796" s="0" t="str">
        <f aca="true">IF(B796="","",IF(B796&lt;TODAY(),B796+ROW()/100000,""))</f>
        <v/>
      </c>
    </row>
    <row r="797" customFormat="false" ht="15" hidden="false" customHeight="false" outlineLevel="0" collapsed="false">
      <c r="A797" s="0" t="str">
        <f aca="true">IF(B797="","",IF(B797&gt;=TODAY(),B797+ROW()/100000,""))</f>
        <v/>
      </c>
      <c r="B797" s="0" t="str">
        <f aca="false">IF(Documenti!C200="","",IF(Documenti!D200&lt;=90,Documenti!C200,""))</f>
        <v/>
      </c>
      <c r="C797" s="0" t="str">
        <f aca="false">IF(B797="","","Rinnovo · "&amp;Documenti!A200)</f>
        <v/>
      </c>
      <c r="D797" s="0" t="str">
        <f aca="false">IF(B797="","",Documenti!B200)</f>
        <v/>
      </c>
      <c r="E797" s="0" t="str">
        <f aca="false">IF(B797="","","Documento")</f>
        <v/>
      </c>
      <c r="F797" s="0" t="str">
        <f aca="true">IF(B797="","",IF(B797&lt;TODAY(),B797+ROW()/100000,""))</f>
        <v/>
      </c>
    </row>
    <row r="798" customFormat="false" ht="15" hidden="false" customHeight="false" outlineLevel="0" collapsed="false">
      <c r="A798" s="0" t="str">
        <f aca="true">IF(B798="","",IF(B798&gt;=TODAY(),B798+ROW()/100000,""))</f>
        <v/>
      </c>
      <c r="B798" s="0" t="str">
        <f aca="false">IF(Documenti!C201="","",IF(Documenti!D201&lt;=90,Documenti!C201,""))</f>
        <v/>
      </c>
      <c r="C798" s="0" t="str">
        <f aca="false">IF(B798="","","Rinnovo · "&amp;Documenti!A201)</f>
        <v/>
      </c>
      <c r="D798" s="0" t="str">
        <f aca="false">IF(B798="","",Documenti!B201)</f>
        <v/>
      </c>
      <c r="E798" s="0" t="str">
        <f aca="false">IF(B798="","","Documento")</f>
        <v/>
      </c>
      <c r="F798" s="0" t="str">
        <f aca="true">IF(B798="","",IF(B798&lt;TODAY(),B798+ROW()/100000,""))</f>
        <v/>
      </c>
    </row>
    <row r="799" customFormat="false" ht="15" hidden="false" customHeight="false" outlineLevel="0" collapsed="false">
      <c r="A799" s="0" t="str">
        <f aca="true">IF(B799="","",IF(B799&gt;=TODAY(),B799+ROW()/100000,""))</f>
        <v/>
      </c>
      <c r="B799" s="0" t="str">
        <f aca="false">IF(Documenti!C202="","",IF(Documenti!D202&lt;=90,Documenti!C202,""))</f>
        <v/>
      </c>
      <c r="C799" s="0" t="str">
        <f aca="false">IF(B799="","","Rinnovo · "&amp;Documenti!A202)</f>
        <v/>
      </c>
      <c r="D799" s="0" t="str">
        <f aca="false">IF(B799="","",Documenti!B202)</f>
        <v/>
      </c>
      <c r="E799" s="0" t="str">
        <f aca="false">IF(B799="","","Documento")</f>
        <v/>
      </c>
      <c r="F799" s="0" t="str">
        <f aca="true">IF(B799="","",IF(B799&lt;TODAY(),B799+ROW()/100000,""))</f>
        <v/>
      </c>
    </row>
    <row r="800" customFormat="false" ht="15" hidden="false" customHeight="false" outlineLevel="0" collapsed="false">
      <c r="A800" s="0" t="str">
        <f aca="true">IF(B800="","",IF(B800&gt;=TODAY(),B800+ROW()/100000,""))</f>
        <v/>
      </c>
      <c r="B800" s="0" t="str">
        <f aca="false">IF(Documenti!C203="","",IF(Documenti!D203&lt;=90,Documenti!C203,""))</f>
        <v/>
      </c>
      <c r="C800" s="0" t="str">
        <f aca="false">IF(B800="","","Rinnovo · "&amp;Documenti!A203)</f>
        <v/>
      </c>
      <c r="D800" s="0" t="str">
        <f aca="false">IF(B800="","",Documenti!B203)</f>
        <v/>
      </c>
      <c r="E800" s="0" t="str">
        <f aca="false">IF(B800="","","Documento")</f>
        <v/>
      </c>
      <c r="F800" s="0" t="str">
        <f aca="true">IF(B800="","",IF(B800&lt;TODAY(),B800+ROW()/100000,""))</f>
        <v/>
      </c>
    </row>
    <row r="801" customFormat="false" ht="15" hidden="false" customHeight="false" outlineLevel="0" collapsed="false">
      <c r="A801" s="0" t="str">
        <f aca="true">IF(B801="","",IF(B801&gt;=TODAY(),B801+ROW()/100000,""))</f>
        <v/>
      </c>
      <c r="B801" s="0" t="str">
        <f aca="false">IF(Documenti!C204="","",IF(Documenti!D204&lt;=90,Documenti!C204,""))</f>
        <v/>
      </c>
      <c r="C801" s="0" t="str">
        <f aca="false">IF(B801="","","Rinnovo · "&amp;Documenti!A204)</f>
        <v/>
      </c>
      <c r="D801" s="0" t="str">
        <f aca="false">IF(B801="","",Documenti!B204)</f>
        <v/>
      </c>
      <c r="E801" s="0" t="str">
        <f aca="false">IF(B801="","","Documento")</f>
        <v/>
      </c>
      <c r="F801" s="0" t="str">
        <f aca="true">IF(B801="","",IF(B801&lt;TODAY(),B801+ROW()/100000,""))</f>
        <v/>
      </c>
    </row>
    <row r="802" customFormat="false" ht="15" hidden="false" customHeight="false" outlineLevel="0" collapsed="false">
      <c r="A802" s="0" t="str">
        <f aca="true">IF(B802="","",IF(B802&gt;=TODAY(),B802+ROW()/100000,""))</f>
        <v/>
      </c>
      <c r="B802" s="0" t="str">
        <f aca="false">IF(Documenti!C205="","",IF(Documenti!D205&lt;=90,Documenti!C205,""))</f>
        <v/>
      </c>
      <c r="C802" s="0" t="str">
        <f aca="false">IF(B802="","","Rinnovo · "&amp;Documenti!A205)</f>
        <v/>
      </c>
      <c r="D802" s="0" t="str">
        <f aca="false">IF(B802="","",Documenti!B205)</f>
        <v/>
      </c>
      <c r="E802" s="0" t="str">
        <f aca="false">IF(B802="","","Documento")</f>
        <v/>
      </c>
      <c r="F802" s="0" t="str">
        <f aca="true">IF(B802="","",IF(B802&lt;TODAY(),B802+ROW()/100000,""))</f>
        <v/>
      </c>
    </row>
    <row r="803" customFormat="false" ht="15" hidden="false" customHeight="false" outlineLevel="0" collapsed="false">
      <c r="A803" s="0" t="str">
        <f aca="true">IF(B803="","",IF(B803&gt;=TODAY(),B803+ROW()/100000,""))</f>
        <v/>
      </c>
      <c r="B803" s="0" t="str">
        <f aca="false">IF(Documenti!C206="","",IF(Documenti!D206&lt;=90,Documenti!C206,""))</f>
        <v/>
      </c>
      <c r="C803" s="0" t="str">
        <f aca="false">IF(B803="","","Rinnovo · "&amp;Documenti!A206)</f>
        <v/>
      </c>
      <c r="D803" s="0" t="str">
        <f aca="false">IF(B803="","",Documenti!B206)</f>
        <v/>
      </c>
      <c r="E803" s="0" t="str">
        <f aca="false">IF(B803="","","Documento")</f>
        <v/>
      </c>
      <c r="F803" s="0" t="str">
        <f aca="true">IF(B803="","",IF(B803&lt;TODAY(),B803+ROW()/100000,""))</f>
        <v/>
      </c>
    </row>
    <row r="804" customFormat="false" ht="15" hidden="false" customHeight="false" outlineLevel="0" collapsed="false">
      <c r="A804" s="0" t="str">
        <f aca="true">IF(B804="","",IF(B804&gt;=TODAY(),B804+ROW()/100000,""))</f>
        <v/>
      </c>
      <c r="B804" s="0" t="str">
        <f aca="false">IF(Documenti!C207="","",IF(Documenti!D207&lt;=90,Documenti!C207,""))</f>
        <v/>
      </c>
      <c r="C804" s="0" t="str">
        <f aca="false">IF(B804="","","Rinnovo · "&amp;Documenti!A207)</f>
        <v/>
      </c>
      <c r="D804" s="0" t="str">
        <f aca="false">IF(B804="","",Documenti!B207)</f>
        <v/>
      </c>
      <c r="E804" s="0" t="str">
        <f aca="false">IF(B804="","","Documento")</f>
        <v/>
      </c>
      <c r="F804" s="0" t="str">
        <f aca="true">IF(B804="","",IF(B804&lt;TODAY(),B804+ROW()/100000,""))</f>
        <v/>
      </c>
    </row>
    <row r="805" customFormat="false" ht="15" hidden="false" customHeight="false" outlineLevel="0" collapsed="false">
      <c r="A805" s="0" t="str">
        <f aca="true">IF(B805="","",IF(B805&gt;=TODAY(),B805+ROW()/100000,""))</f>
        <v/>
      </c>
      <c r="B805" s="0" t="str">
        <f aca="false">IF(Documenti!C208="","",IF(Documenti!D208&lt;=90,Documenti!C208,""))</f>
        <v/>
      </c>
      <c r="C805" s="0" t="str">
        <f aca="false">IF(B805="","","Rinnovo · "&amp;Documenti!A208)</f>
        <v/>
      </c>
      <c r="D805" s="0" t="str">
        <f aca="false">IF(B805="","",Documenti!B208)</f>
        <v/>
      </c>
      <c r="E805" s="0" t="str">
        <f aca="false">IF(B805="","","Documento")</f>
        <v/>
      </c>
      <c r="F805" s="0" t="str">
        <f aca="true">IF(B805="","",IF(B805&lt;TODAY(),B805+ROW()/100000,""))</f>
        <v/>
      </c>
    </row>
    <row r="806" customFormat="false" ht="15" hidden="false" customHeight="false" outlineLevel="0" collapsed="false">
      <c r="A806" s="0" t="str">
        <f aca="true">IF(B806="","",IF(B806&gt;=TODAY(),B806+ROW()/100000,""))</f>
        <v/>
      </c>
      <c r="B806" s="0" t="str">
        <f aca="false">IF(Documenti!C209="","",IF(Documenti!D209&lt;=90,Documenti!C209,""))</f>
        <v/>
      </c>
      <c r="C806" s="0" t="str">
        <f aca="false">IF(B806="","","Rinnovo · "&amp;Documenti!A209)</f>
        <v/>
      </c>
      <c r="D806" s="0" t="str">
        <f aca="false">IF(B806="","",Documenti!B209)</f>
        <v/>
      </c>
      <c r="E806" s="0" t="str">
        <f aca="false">IF(B806="","","Documento")</f>
        <v/>
      </c>
      <c r="F806" s="0" t="str">
        <f aca="true">IF(B806="","",IF(B806&lt;TODAY(),B806+ROW()/100000,""))</f>
        <v/>
      </c>
    </row>
    <row r="807" customFormat="false" ht="15" hidden="false" customHeight="false" outlineLevel="0" collapsed="false">
      <c r="A807" s="0" t="str">
        <f aca="true">IF(B807="","",IF(B807&gt;=TODAY(),B807+ROW()/100000,""))</f>
        <v/>
      </c>
      <c r="B807" s="0" t="str">
        <f aca="false">IF(Documenti!C210="","",IF(Documenti!D210&lt;=90,Documenti!C210,""))</f>
        <v/>
      </c>
      <c r="C807" s="0" t="str">
        <f aca="false">IF(B807="","","Rinnovo · "&amp;Documenti!A210)</f>
        <v/>
      </c>
      <c r="D807" s="0" t="str">
        <f aca="false">IF(B807="","",Documenti!B210)</f>
        <v/>
      </c>
      <c r="E807" s="0" t="str">
        <f aca="false">IF(B807="","","Documento")</f>
        <v/>
      </c>
      <c r="F807" s="0" t="str">
        <f aca="true">IF(B807="","",IF(B807&lt;TODAY(),B807+ROW()/100000,""))</f>
        <v/>
      </c>
    </row>
    <row r="808" customFormat="false" ht="15" hidden="false" customHeight="false" outlineLevel="0" collapsed="false">
      <c r="A808" s="0" t="str">
        <f aca="true">IF(B808="","",IF(B808&gt;=TODAY(),B808+ROW()/100000,""))</f>
        <v/>
      </c>
      <c r="B808" s="0" t="str">
        <f aca="false">IF(Documenti!C211="","",IF(Documenti!D211&lt;=90,Documenti!C211,""))</f>
        <v/>
      </c>
      <c r="C808" s="0" t="str">
        <f aca="false">IF(B808="","","Rinnovo · "&amp;Documenti!A211)</f>
        <v/>
      </c>
      <c r="D808" s="0" t="str">
        <f aca="false">IF(B808="","",Documenti!B211)</f>
        <v/>
      </c>
      <c r="E808" s="0" t="str">
        <f aca="false">IF(B808="","","Documento")</f>
        <v/>
      </c>
      <c r="F808" s="0" t="str">
        <f aca="true">IF(B808="","",IF(B808&lt;TODAY(),B808+ROW()/100000,""))</f>
        <v/>
      </c>
    </row>
    <row r="809" customFormat="false" ht="15" hidden="false" customHeight="false" outlineLevel="0" collapsed="false">
      <c r="A809" s="0" t="str">
        <f aca="true">IF(B809="","",IF(B809&gt;=TODAY(),B809+ROW()/100000,""))</f>
        <v/>
      </c>
      <c r="B809" s="0" t="str">
        <f aca="false">IF(Documenti!C212="","",IF(Documenti!D212&lt;=90,Documenti!C212,""))</f>
        <v/>
      </c>
      <c r="C809" s="0" t="str">
        <f aca="false">IF(B809="","","Rinnovo · "&amp;Documenti!A212)</f>
        <v/>
      </c>
      <c r="D809" s="0" t="str">
        <f aca="false">IF(B809="","",Documenti!B212)</f>
        <v/>
      </c>
      <c r="E809" s="0" t="str">
        <f aca="false">IF(B809="","","Documento")</f>
        <v/>
      </c>
      <c r="F809" s="0" t="str">
        <f aca="true">IF(B809="","",IF(B809&lt;TODAY(),B809+ROW()/100000,""))</f>
        <v/>
      </c>
    </row>
    <row r="810" customFormat="false" ht="15" hidden="false" customHeight="false" outlineLevel="0" collapsed="false">
      <c r="A810" s="0" t="str">
        <f aca="true">IF(B810="","",IF(B810&gt;=TODAY(),B810+ROW()/100000,""))</f>
        <v/>
      </c>
      <c r="B810" s="0" t="str">
        <f aca="false">IF(Documenti!C213="","",IF(Documenti!D213&lt;=90,Documenti!C213,""))</f>
        <v/>
      </c>
      <c r="C810" s="0" t="str">
        <f aca="false">IF(B810="","","Rinnovo · "&amp;Documenti!A213)</f>
        <v/>
      </c>
      <c r="D810" s="0" t="str">
        <f aca="false">IF(B810="","",Documenti!B213)</f>
        <v/>
      </c>
      <c r="E810" s="0" t="str">
        <f aca="false">IF(B810="","","Documento")</f>
        <v/>
      </c>
      <c r="F810" s="0" t="str">
        <f aca="true">IF(B810="","",IF(B810&lt;TODAY(),B810+ROW()/100000,""))</f>
        <v/>
      </c>
    </row>
    <row r="811" customFormat="false" ht="15" hidden="false" customHeight="false" outlineLevel="0" collapsed="false">
      <c r="A811" s="0" t="str">
        <f aca="true">IF(B811="","",IF(B811&gt;=TODAY(),B811+ROW()/100000,""))</f>
        <v/>
      </c>
      <c r="B811" s="0" t="str">
        <f aca="false">IF(Documenti!C214="","",IF(Documenti!D214&lt;=90,Documenti!C214,""))</f>
        <v/>
      </c>
      <c r="C811" s="0" t="str">
        <f aca="false">IF(B811="","","Rinnovo · "&amp;Documenti!A214)</f>
        <v/>
      </c>
      <c r="D811" s="0" t="str">
        <f aca="false">IF(B811="","",Documenti!B214)</f>
        <v/>
      </c>
      <c r="E811" s="0" t="str">
        <f aca="false">IF(B811="","","Documento")</f>
        <v/>
      </c>
      <c r="F811" s="0" t="str">
        <f aca="true">IF(B811="","",IF(B811&lt;TODAY(),B811+ROW()/100000,""))</f>
        <v/>
      </c>
    </row>
    <row r="812" customFormat="false" ht="15" hidden="false" customHeight="false" outlineLevel="0" collapsed="false">
      <c r="A812" s="0" t="str">
        <f aca="true">IF(B812="","",IF(B812&gt;=TODAY(),B812+ROW()/100000,""))</f>
        <v/>
      </c>
      <c r="B812" s="0" t="str">
        <f aca="false">IF(Documenti!C215="","",IF(Documenti!D215&lt;=90,Documenti!C215,""))</f>
        <v/>
      </c>
      <c r="C812" s="0" t="str">
        <f aca="false">IF(B812="","","Rinnovo · "&amp;Documenti!A215)</f>
        <v/>
      </c>
      <c r="D812" s="0" t="str">
        <f aca="false">IF(B812="","",Documenti!B215)</f>
        <v/>
      </c>
      <c r="E812" s="0" t="str">
        <f aca="false">IF(B812="","","Documento")</f>
        <v/>
      </c>
      <c r="F812" s="0" t="str">
        <f aca="true">IF(B812="","",IF(B812&lt;TODAY(),B812+ROW()/100000,""))</f>
        <v/>
      </c>
    </row>
    <row r="813" customFormat="false" ht="15" hidden="false" customHeight="false" outlineLevel="0" collapsed="false">
      <c r="A813" s="0" t="str">
        <f aca="true">IF(B813="","",IF(B813&gt;=TODAY(),B813+ROW()/100000,""))</f>
        <v/>
      </c>
      <c r="B813" s="0" t="str">
        <f aca="false">IF(Documenti!C216="","",IF(Documenti!D216&lt;=90,Documenti!C216,""))</f>
        <v/>
      </c>
      <c r="C813" s="0" t="str">
        <f aca="false">IF(B813="","","Rinnovo · "&amp;Documenti!A216)</f>
        <v/>
      </c>
      <c r="D813" s="0" t="str">
        <f aca="false">IF(B813="","",Documenti!B216)</f>
        <v/>
      </c>
      <c r="E813" s="0" t="str">
        <f aca="false">IF(B813="","","Documento")</f>
        <v/>
      </c>
      <c r="F813" s="0" t="str">
        <f aca="true">IF(B813="","",IF(B813&lt;TODAY(),B813+ROW()/100000,""))</f>
        <v/>
      </c>
    </row>
    <row r="814" customFormat="false" ht="15" hidden="false" customHeight="false" outlineLevel="0" collapsed="false">
      <c r="A814" s="0" t="str">
        <f aca="true">IF(B814="","",IF(B814&gt;=TODAY(),B814+ROW()/100000,""))</f>
        <v/>
      </c>
      <c r="B814" s="0" t="str">
        <f aca="false">IF(Documenti!C217="","",IF(Documenti!D217&lt;=90,Documenti!C217,""))</f>
        <v/>
      </c>
      <c r="C814" s="0" t="str">
        <f aca="false">IF(B814="","","Rinnovo · "&amp;Documenti!A217)</f>
        <v/>
      </c>
      <c r="D814" s="0" t="str">
        <f aca="false">IF(B814="","",Documenti!B217)</f>
        <v/>
      </c>
      <c r="E814" s="0" t="str">
        <f aca="false">IF(B814="","","Documento")</f>
        <v/>
      </c>
      <c r="F814" s="0" t="str">
        <f aca="true">IF(B814="","",IF(B814&lt;TODAY(),B814+ROW()/100000,""))</f>
        <v/>
      </c>
    </row>
    <row r="815" customFormat="false" ht="15" hidden="false" customHeight="false" outlineLevel="0" collapsed="false">
      <c r="A815" s="0" t="str">
        <f aca="true">IF(B815="","",IF(B815&gt;=TODAY(),B815+ROW()/100000,""))</f>
        <v/>
      </c>
      <c r="B815" s="0" t="str">
        <f aca="false">IF(Documenti!C218="","",IF(Documenti!D218&lt;=90,Documenti!C218,""))</f>
        <v/>
      </c>
      <c r="C815" s="0" t="str">
        <f aca="false">IF(B815="","","Rinnovo · "&amp;Documenti!A218)</f>
        <v/>
      </c>
      <c r="D815" s="0" t="str">
        <f aca="false">IF(B815="","",Documenti!B218)</f>
        <v/>
      </c>
      <c r="E815" s="0" t="str">
        <f aca="false">IF(B815="","","Documento")</f>
        <v/>
      </c>
      <c r="F815" s="0" t="str">
        <f aca="true">IF(B815="","",IF(B815&lt;TODAY(),B815+ROW()/100000,""))</f>
        <v/>
      </c>
    </row>
    <row r="816" customFormat="false" ht="15" hidden="false" customHeight="false" outlineLevel="0" collapsed="false">
      <c r="A816" s="0" t="str">
        <f aca="true">IF(B816="","",IF(B816&gt;=TODAY(),B816+ROW()/100000,""))</f>
        <v/>
      </c>
      <c r="B816" s="0" t="str">
        <f aca="false">IF(Documenti!C219="","",IF(Documenti!D219&lt;=90,Documenti!C219,""))</f>
        <v/>
      </c>
      <c r="C816" s="0" t="str">
        <f aca="false">IF(B816="","","Rinnovo · "&amp;Documenti!A219)</f>
        <v/>
      </c>
      <c r="D816" s="0" t="str">
        <f aca="false">IF(B816="","",Documenti!B219)</f>
        <v/>
      </c>
      <c r="E816" s="0" t="str">
        <f aca="false">IF(B816="","","Documento")</f>
        <v/>
      </c>
      <c r="F816" s="0" t="str">
        <f aca="true">IF(B816="","",IF(B816&lt;TODAY(),B816+ROW()/100000,""))</f>
        <v/>
      </c>
    </row>
    <row r="817" customFormat="false" ht="15" hidden="false" customHeight="false" outlineLevel="0" collapsed="false">
      <c r="A817" s="0" t="str">
        <f aca="true">IF(B817="","",IF(B817&gt;=TODAY(),B817+ROW()/100000,""))</f>
        <v/>
      </c>
      <c r="B817" s="0" t="str">
        <f aca="false">IF(Documenti!C220="","",IF(Documenti!D220&lt;=90,Documenti!C220,""))</f>
        <v/>
      </c>
      <c r="C817" s="0" t="str">
        <f aca="false">IF(B817="","","Rinnovo · "&amp;Documenti!A220)</f>
        <v/>
      </c>
      <c r="D817" s="0" t="str">
        <f aca="false">IF(B817="","",Documenti!B220)</f>
        <v/>
      </c>
      <c r="E817" s="0" t="str">
        <f aca="false">IF(B817="","","Documento")</f>
        <v/>
      </c>
      <c r="F817" s="0" t="str">
        <f aca="true">IF(B817="","",IF(B817&lt;TODAY(),B817+ROW()/100000,""))</f>
        <v/>
      </c>
    </row>
    <row r="818" customFormat="false" ht="15" hidden="false" customHeight="false" outlineLevel="0" collapsed="false">
      <c r="A818" s="0" t="str">
        <f aca="true">IF(B818="","",IF(B818&gt;=TODAY(),B818+ROW()/100000,""))</f>
        <v/>
      </c>
      <c r="B818" s="0" t="str">
        <f aca="false">IF(Documenti!C221="","",IF(Documenti!D221&lt;=90,Documenti!C221,""))</f>
        <v/>
      </c>
      <c r="C818" s="0" t="str">
        <f aca="false">IF(B818="","","Rinnovo · "&amp;Documenti!A221)</f>
        <v/>
      </c>
      <c r="D818" s="0" t="str">
        <f aca="false">IF(B818="","",Documenti!B221)</f>
        <v/>
      </c>
      <c r="E818" s="0" t="str">
        <f aca="false">IF(B818="","","Documento")</f>
        <v/>
      </c>
      <c r="F818" s="0" t="str">
        <f aca="true">IF(B818="","",IF(B818&lt;TODAY(),B818+ROW()/100000,""))</f>
        <v/>
      </c>
    </row>
    <row r="819" customFormat="false" ht="15" hidden="false" customHeight="false" outlineLevel="0" collapsed="false">
      <c r="A819" s="0" t="str">
        <f aca="true">IF(B819="","",IF(B819&gt;=TODAY(),B819+ROW()/100000,""))</f>
        <v/>
      </c>
      <c r="B819" s="0" t="str">
        <f aca="false">IF(Documenti!C222="","",IF(Documenti!D222&lt;=90,Documenti!C222,""))</f>
        <v/>
      </c>
      <c r="C819" s="0" t="str">
        <f aca="false">IF(B819="","","Rinnovo · "&amp;Documenti!A222)</f>
        <v/>
      </c>
      <c r="D819" s="0" t="str">
        <f aca="false">IF(B819="","",Documenti!B222)</f>
        <v/>
      </c>
      <c r="E819" s="0" t="str">
        <f aca="false">IF(B819="","","Documento")</f>
        <v/>
      </c>
      <c r="F819" s="0" t="str">
        <f aca="true">IF(B819="","",IF(B819&lt;TODAY(),B819+ROW()/100000,""))</f>
        <v/>
      </c>
    </row>
    <row r="820" customFormat="false" ht="15" hidden="false" customHeight="false" outlineLevel="0" collapsed="false">
      <c r="A820" s="0" t="str">
        <f aca="true">IF(B820="","",IF(B820&gt;=TODAY(),B820+ROW()/100000,""))</f>
        <v/>
      </c>
      <c r="B820" s="0" t="str">
        <f aca="false">IF(Documenti!C223="","",IF(Documenti!D223&lt;=90,Documenti!C223,""))</f>
        <v/>
      </c>
      <c r="C820" s="0" t="str">
        <f aca="false">IF(B820="","","Rinnovo · "&amp;Documenti!A223)</f>
        <v/>
      </c>
      <c r="D820" s="0" t="str">
        <f aca="false">IF(B820="","",Documenti!B223)</f>
        <v/>
      </c>
      <c r="E820" s="0" t="str">
        <f aca="false">IF(B820="","","Documento")</f>
        <v/>
      </c>
      <c r="F820" s="0" t="str">
        <f aca="true">IF(B820="","",IF(B820&lt;TODAY(),B820+ROW()/100000,""))</f>
        <v/>
      </c>
    </row>
    <row r="821" customFormat="false" ht="15" hidden="false" customHeight="false" outlineLevel="0" collapsed="false">
      <c r="A821" s="0" t="str">
        <f aca="true">IF(B821="","",IF(B821&gt;=TODAY(),B821+ROW()/100000,""))</f>
        <v/>
      </c>
      <c r="B821" s="0" t="str">
        <f aca="false">IF(Documenti!C224="","",IF(Documenti!D224&lt;=90,Documenti!C224,""))</f>
        <v/>
      </c>
      <c r="C821" s="0" t="str">
        <f aca="false">IF(B821="","","Rinnovo · "&amp;Documenti!A224)</f>
        <v/>
      </c>
      <c r="D821" s="0" t="str">
        <f aca="false">IF(B821="","",Documenti!B224)</f>
        <v/>
      </c>
      <c r="E821" s="0" t="str">
        <f aca="false">IF(B821="","","Documento")</f>
        <v/>
      </c>
      <c r="F821" s="0" t="str">
        <f aca="true">IF(B821="","",IF(B821&lt;TODAY(),B821+ROW()/100000,""))</f>
        <v/>
      </c>
    </row>
    <row r="822" customFormat="false" ht="15" hidden="false" customHeight="false" outlineLevel="0" collapsed="false">
      <c r="A822" s="0" t="str">
        <f aca="true">IF(B822="","",IF(B822&gt;=TODAY(),B822+ROW()/100000,""))</f>
        <v/>
      </c>
      <c r="B822" s="0" t="str">
        <f aca="false">IF(Documenti!C225="","",IF(Documenti!D225&lt;=90,Documenti!C225,""))</f>
        <v/>
      </c>
      <c r="C822" s="0" t="str">
        <f aca="false">IF(B822="","","Rinnovo · "&amp;Documenti!A225)</f>
        <v/>
      </c>
      <c r="D822" s="0" t="str">
        <f aca="false">IF(B822="","",Documenti!B225)</f>
        <v/>
      </c>
      <c r="E822" s="0" t="str">
        <f aca="false">IF(B822="","","Documento")</f>
        <v/>
      </c>
      <c r="F822" s="0" t="str">
        <f aca="true">IF(B822="","",IF(B822&lt;TODAY(),B822+ROW()/100000,""))</f>
        <v/>
      </c>
    </row>
    <row r="823" customFormat="false" ht="15" hidden="false" customHeight="false" outlineLevel="0" collapsed="false">
      <c r="A823" s="0" t="str">
        <f aca="true">IF(B823="","",IF(B823&gt;=TODAY(),B823+ROW()/100000,""))</f>
        <v/>
      </c>
      <c r="B823" s="0" t="str">
        <f aca="false">IF(Documenti!C226="","",IF(Documenti!D226&lt;=90,Documenti!C226,""))</f>
        <v/>
      </c>
      <c r="C823" s="0" t="str">
        <f aca="false">IF(B823="","","Rinnovo · "&amp;Documenti!A226)</f>
        <v/>
      </c>
      <c r="D823" s="0" t="str">
        <f aca="false">IF(B823="","",Documenti!B226)</f>
        <v/>
      </c>
      <c r="E823" s="0" t="str">
        <f aca="false">IF(B823="","","Documento")</f>
        <v/>
      </c>
      <c r="F823" s="0" t="str">
        <f aca="true">IF(B823="","",IF(B823&lt;TODAY(),B823+ROW()/100000,""))</f>
        <v/>
      </c>
    </row>
    <row r="824" customFormat="false" ht="15" hidden="false" customHeight="false" outlineLevel="0" collapsed="false">
      <c r="A824" s="0" t="str">
        <f aca="true">IF(B824="","",IF(B824&gt;=TODAY(),B824+ROW()/100000,""))</f>
        <v/>
      </c>
      <c r="B824" s="0" t="str">
        <f aca="false">IF(Documenti!C227="","",IF(Documenti!D227&lt;=90,Documenti!C227,""))</f>
        <v/>
      </c>
      <c r="C824" s="0" t="str">
        <f aca="false">IF(B824="","","Rinnovo · "&amp;Documenti!A227)</f>
        <v/>
      </c>
      <c r="D824" s="0" t="str">
        <f aca="false">IF(B824="","",Documenti!B227)</f>
        <v/>
      </c>
      <c r="E824" s="0" t="str">
        <f aca="false">IF(B824="","","Documento")</f>
        <v/>
      </c>
      <c r="F824" s="0" t="str">
        <f aca="true">IF(B824="","",IF(B824&lt;TODAY(),B824+ROW()/100000,""))</f>
        <v/>
      </c>
    </row>
    <row r="825" customFormat="false" ht="15" hidden="false" customHeight="false" outlineLevel="0" collapsed="false">
      <c r="A825" s="0" t="str">
        <f aca="true">IF(B825="","",IF(B825&gt;=TODAY(),B825+ROW()/100000,""))</f>
        <v/>
      </c>
      <c r="B825" s="0" t="str">
        <f aca="false">IF(Documenti!C228="","",IF(Documenti!D228&lt;=90,Documenti!C228,""))</f>
        <v/>
      </c>
      <c r="C825" s="0" t="str">
        <f aca="false">IF(B825="","","Rinnovo · "&amp;Documenti!A228)</f>
        <v/>
      </c>
      <c r="D825" s="0" t="str">
        <f aca="false">IF(B825="","",Documenti!B228)</f>
        <v/>
      </c>
      <c r="E825" s="0" t="str">
        <f aca="false">IF(B825="","","Documento")</f>
        <v/>
      </c>
      <c r="F825" s="0" t="str">
        <f aca="true">IF(B825="","",IF(B825&lt;TODAY(),B825+ROW()/100000,""))</f>
        <v/>
      </c>
    </row>
    <row r="826" customFormat="false" ht="15" hidden="false" customHeight="false" outlineLevel="0" collapsed="false">
      <c r="A826" s="0" t="str">
        <f aca="true">IF(B826="","",IF(B826&gt;=TODAY(),B826+ROW()/100000,""))</f>
        <v/>
      </c>
      <c r="B826" s="0" t="str">
        <f aca="false">IF(Documenti!C229="","",IF(Documenti!D229&lt;=90,Documenti!C229,""))</f>
        <v/>
      </c>
      <c r="C826" s="0" t="str">
        <f aca="false">IF(B826="","","Rinnovo · "&amp;Documenti!A229)</f>
        <v/>
      </c>
      <c r="D826" s="0" t="str">
        <f aca="false">IF(B826="","",Documenti!B229)</f>
        <v/>
      </c>
      <c r="E826" s="0" t="str">
        <f aca="false">IF(B826="","","Documento")</f>
        <v/>
      </c>
      <c r="F826" s="0" t="str">
        <f aca="true">IF(B826="","",IF(B826&lt;TODAY(),B826+ROW()/100000,""))</f>
        <v/>
      </c>
    </row>
    <row r="827" customFormat="false" ht="15" hidden="false" customHeight="false" outlineLevel="0" collapsed="false">
      <c r="A827" s="0" t="str">
        <f aca="true">IF(B827="","",IF(B827&gt;=TODAY(),B827+ROW()/100000,""))</f>
        <v/>
      </c>
      <c r="B827" s="0" t="str">
        <f aca="false">IF(Documenti!C230="","",IF(Documenti!D230&lt;=90,Documenti!C230,""))</f>
        <v/>
      </c>
      <c r="C827" s="0" t="str">
        <f aca="false">IF(B827="","","Rinnovo · "&amp;Documenti!A230)</f>
        <v/>
      </c>
      <c r="D827" s="0" t="str">
        <f aca="false">IF(B827="","",Documenti!B230)</f>
        <v/>
      </c>
      <c r="E827" s="0" t="str">
        <f aca="false">IF(B827="","","Documento")</f>
        <v/>
      </c>
      <c r="F827" s="0" t="str">
        <f aca="true">IF(B827="","",IF(B827&lt;TODAY(),B827+ROW()/100000,""))</f>
        <v/>
      </c>
    </row>
    <row r="828" customFormat="false" ht="15" hidden="false" customHeight="false" outlineLevel="0" collapsed="false">
      <c r="A828" s="0" t="str">
        <f aca="true">IF(B828="","",IF(B828&gt;=TODAY(),B828+ROW()/100000,""))</f>
        <v/>
      </c>
      <c r="B828" s="0" t="str">
        <f aca="false">IF(Documenti!C231="","",IF(Documenti!D231&lt;=90,Documenti!C231,""))</f>
        <v/>
      </c>
      <c r="C828" s="0" t="str">
        <f aca="false">IF(B828="","","Rinnovo · "&amp;Documenti!A231)</f>
        <v/>
      </c>
      <c r="D828" s="0" t="str">
        <f aca="false">IF(B828="","",Documenti!B231)</f>
        <v/>
      </c>
      <c r="E828" s="0" t="str">
        <f aca="false">IF(B828="","","Documento")</f>
        <v/>
      </c>
      <c r="F828" s="0" t="str">
        <f aca="true">IF(B828="","",IF(B828&lt;TODAY(),B828+ROW()/100000,""))</f>
        <v/>
      </c>
    </row>
    <row r="829" customFormat="false" ht="15" hidden="false" customHeight="false" outlineLevel="0" collapsed="false">
      <c r="A829" s="0" t="str">
        <f aca="true">IF(B829="","",IF(B829&gt;=TODAY(),B829+ROW()/100000,""))</f>
        <v/>
      </c>
      <c r="B829" s="0" t="str">
        <f aca="false">IF(Documenti!C232="","",IF(Documenti!D232&lt;=90,Documenti!C232,""))</f>
        <v/>
      </c>
      <c r="C829" s="0" t="str">
        <f aca="false">IF(B829="","","Rinnovo · "&amp;Documenti!A232)</f>
        <v/>
      </c>
      <c r="D829" s="0" t="str">
        <f aca="false">IF(B829="","",Documenti!B232)</f>
        <v/>
      </c>
      <c r="E829" s="0" t="str">
        <f aca="false">IF(B829="","","Documento")</f>
        <v/>
      </c>
      <c r="F829" s="0" t="str">
        <f aca="true">IF(B829="","",IF(B829&lt;TODAY(),B829+ROW()/100000,""))</f>
        <v/>
      </c>
    </row>
    <row r="830" customFormat="false" ht="15" hidden="false" customHeight="false" outlineLevel="0" collapsed="false">
      <c r="A830" s="0" t="str">
        <f aca="true">IF(B830="","",IF(B830&gt;=TODAY(),B830+ROW()/100000,""))</f>
        <v/>
      </c>
      <c r="B830" s="0" t="str">
        <f aca="false">IF(Documenti!C233="","",IF(Documenti!D233&lt;=90,Documenti!C233,""))</f>
        <v/>
      </c>
      <c r="C830" s="0" t="str">
        <f aca="false">IF(B830="","","Rinnovo · "&amp;Documenti!A233)</f>
        <v/>
      </c>
      <c r="D830" s="0" t="str">
        <f aca="false">IF(B830="","",Documenti!B233)</f>
        <v/>
      </c>
      <c r="E830" s="0" t="str">
        <f aca="false">IF(B830="","","Documento")</f>
        <v/>
      </c>
      <c r="F830" s="0" t="str">
        <f aca="true">IF(B830="","",IF(B830&lt;TODAY(),B830+ROW()/100000,""))</f>
        <v/>
      </c>
    </row>
    <row r="831" customFormat="false" ht="15" hidden="false" customHeight="false" outlineLevel="0" collapsed="false">
      <c r="A831" s="0" t="str">
        <f aca="true">IF(B831="","",IF(B831&gt;=TODAY(),B831+ROW()/100000,""))</f>
        <v/>
      </c>
      <c r="B831" s="0" t="str">
        <f aca="false">IF(Documenti!C234="","",IF(Documenti!D234&lt;=90,Documenti!C234,""))</f>
        <v/>
      </c>
      <c r="C831" s="0" t="str">
        <f aca="false">IF(B831="","","Rinnovo · "&amp;Documenti!A234)</f>
        <v/>
      </c>
      <c r="D831" s="0" t="str">
        <f aca="false">IF(B831="","",Documenti!B234)</f>
        <v/>
      </c>
      <c r="E831" s="0" t="str">
        <f aca="false">IF(B831="","","Documento")</f>
        <v/>
      </c>
      <c r="F831" s="0" t="str">
        <f aca="true">IF(B831="","",IF(B831&lt;TODAY(),B831+ROW()/100000,""))</f>
        <v/>
      </c>
    </row>
    <row r="832" customFormat="false" ht="15" hidden="false" customHeight="false" outlineLevel="0" collapsed="false">
      <c r="A832" s="0" t="str">
        <f aca="true">IF(B832="","",IF(B832&gt;=TODAY(),B832+ROW()/100000,""))</f>
        <v/>
      </c>
      <c r="B832" s="0" t="str">
        <f aca="false">IF(Documenti!C235="","",IF(Documenti!D235&lt;=90,Documenti!C235,""))</f>
        <v/>
      </c>
      <c r="C832" s="0" t="str">
        <f aca="false">IF(B832="","","Rinnovo · "&amp;Documenti!A235)</f>
        <v/>
      </c>
      <c r="D832" s="0" t="str">
        <f aca="false">IF(B832="","",Documenti!B235)</f>
        <v/>
      </c>
      <c r="E832" s="0" t="str">
        <f aca="false">IF(B832="","","Documento")</f>
        <v/>
      </c>
      <c r="F832" s="0" t="str">
        <f aca="true">IF(B832="","",IF(B832&lt;TODAY(),B832+ROW()/100000,""))</f>
        <v/>
      </c>
    </row>
    <row r="833" customFormat="false" ht="15" hidden="false" customHeight="false" outlineLevel="0" collapsed="false">
      <c r="A833" s="0" t="str">
        <f aca="true">IF(B833="","",IF(B833&gt;=TODAY(),B833+ROW()/100000,""))</f>
        <v/>
      </c>
      <c r="B833" s="0" t="str">
        <f aca="false">IF(Documenti!C236="","",IF(Documenti!D236&lt;=90,Documenti!C236,""))</f>
        <v/>
      </c>
      <c r="C833" s="0" t="str">
        <f aca="false">IF(B833="","","Rinnovo · "&amp;Documenti!A236)</f>
        <v/>
      </c>
      <c r="D833" s="0" t="str">
        <f aca="false">IF(B833="","",Documenti!B236)</f>
        <v/>
      </c>
      <c r="E833" s="0" t="str">
        <f aca="false">IF(B833="","","Documento")</f>
        <v/>
      </c>
      <c r="F833" s="0" t="str">
        <f aca="true">IF(B833="","",IF(B833&lt;TODAY(),B833+ROW()/100000,""))</f>
        <v/>
      </c>
    </row>
    <row r="834" customFormat="false" ht="15" hidden="false" customHeight="false" outlineLevel="0" collapsed="false">
      <c r="A834" s="0" t="str">
        <f aca="true">IF(B834="","",IF(B834&gt;=TODAY(),B834+ROW()/100000,""))</f>
        <v/>
      </c>
      <c r="B834" s="0" t="str">
        <f aca="false">IF(Documenti!C237="","",IF(Documenti!D237&lt;=90,Documenti!C237,""))</f>
        <v/>
      </c>
      <c r="C834" s="0" t="str">
        <f aca="false">IF(B834="","","Rinnovo · "&amp;Documenti!A237)</f>
        <v/>
      </c>
      <c r="D834" s="0" t="str">
        <f aca="false">IF(B834="","",Documenti!B237)</f>
        <v/>
      </c>
      <c r="E834" s="0" t="str">
        <f aca="false">IF(B834="","","Documento")</f>
        <v/>
      </c>
      <c r="F834" s="0" t="str">
        <f aca="true">IF(B834="","",IF(B834&lt;TODAY(),B834+ROW()/100000,""))</f>
        <v/>
      </c>
    </row>
    <row r="835" customFormat="false" ht="15" hidden="false" customHeight="false" outlineLevel="0" collapsed="false">
      <c r="A835" s="0" t="str">
        <f aca="true">IF(B835="","",IF(B835&gt;=TODAY(),B835+ROW()/100000,""))</f>
        <v/>
      </c>
      <c r="B835" s="0" t="str">
        <f aca="false">IF(Documenti!C238="","",IF(Documenti!D238&lt;=90,Documenti!C238,""))</f>
        <v/>
      </c>
      <c r="C835" s="0" t="str">
        <f aca="false">IF(B835="","","Rinnovo · "&amp;Documenti!A238)</f>
        <v/>
      </c>
      <c r="D835" s="0" t="str">
        <f aca="false">IF(B835="","",Documenti!B238)</f>
        <v/>
      </c>
      <c r="E835" s="0" t="str">
        <f aca="false">IF(B835="","","Documento")</f>
        <v/>
      </c>
      <c r="F835" s="0" t="str">
        <f aca="true">IF(B835="","",IF(B835&lt;TODAY(),B835+ROW()/100000,""))</f>
        <v/>
      </c>
    </row>
    <row r="836" customFormat="false" ht="15" hidden="false" customHeight="false" outlineLevel="0" collapsed="false">
      <c r="A836" s="0" t="str">
        <f aca="true">IF(B836="","",IF(B836&gt;=TODAY(),B836+ROW()/100000,""))</f>
        <v/>
      </c>
      <c r="B836" s="0" t="str">
        <f aca="false">IF(Documenti!C239="","",IF(Documenti!D239&lt;=90,Documenti!C239,""))</f>
        <v/>
      </c>
      <c r="C836" s="0" t="str">
        <f aca="false">IF(B836="","","Rinnovo · "&amp;Documenti!A239)</f>
        <v/>
      </c>
      <c r="D836" s="0" t="str">
        <f aca="false">IF(B836="","",Documenti!B239)</f>
        <v/>
      </c>
      <c r="E836" s="0" t="str">
        <f aca="false">IF(B836="","","Documento")</f>
        <v/>
      </c>
      <c r="F836" s="0" t="str">
        <f aca="true">IF(B836="","",IF(B836&lt;TODAY(),B836+ROW()/100000,""))</f>
        <v/>
      </c>
    </row>
    <row r="837" customFormat="false" ht="15" hidden="false" customHeight="false" outlineLevel="0" collapsed="false">
      <c r="A837" s="0" t="str">
        <f aca="true">IF(B837="","",IF(B837&gt;=TODAY(),B837+ROW()/100000,""))</f>
        <v/>
      </c>
      <c r="B837" s="0" t="str">
        <f aca="false">IF(Documenti!C240="","",IF(Documenti!D240&lt;=90,Documenti!C240,""))</f>
        <v/>
      </c>
      <c r="C837" s="0" t="str">
        <f aca="false">IF(B837="","","Rinnovo · "&amp;Documenti!A240)</f>
        <v/>
      </c>
      <c r="D837" s="0" t="str">
        <f aca="false">IF(B837="","",Documenti!B240)</f>
        <v/>
      </c>
      <c r="E837" s="0" t="str">
        <f aca="false">IF(B837="","","Documento")</f>
        <v/>
      </c>
      <c r="F837" s="0" t="str">
        <f aca="true">IF(B837="","",IF(B837&lt;TODAY(),B837+ROW()/100000,""))</f>
        <v/>
      </c>
    </row>
    <row r="838" customFormat="false" ht="15" hidden="false" customHeight="false" outlineLevel="0" collapsed="false">
      <c r="A838" s="0" t="str">
        <f aca="true">IF(B838="","",IF(B838&gt;=TODAY(),B838+ROW()/100000,""))</f>
        <v/>
      </c>
      <c r="B838" s="0" t="str">
        <f aca="false">IF(Documenti!C241="","",IF(Documenti!D241&lt;=90,Documenti!C241,""))</f>
        <v/>
      </c>
      <c r="C838" s="0" t="str">
        <f aca="false">IF(B838="","","Rinnovo · "&amp;Documenti!A241)</f>
        <v/>
      </c>
      <c r="D838" s="0" t="str">
        <f aca="false">IF(B838="","",Documenti!B241)</f>
        <v/>
      </c>
      <c r="E838" s="0" t="str">
        <f aca="false">IF(B838="","","Documento")</f>
        <v/>
      </c>
      <c r="F838" s="0" t="str">
        <f aca="true">IF(B838="","",IF(B838&lt;TODAY(),B838+ROW()/100000,""))</f>
        <v/>
      </c>
    </row>
    <row r="839" customFormat="false" ht="15" hidden="false" customHeight="false" outlineLevel="0" collapsed="false">
      <c r="A839" s="0" t="str">
        <f aca="true">IF(B839="","",IF(B839&gt;=TODAY(),B839+ROW()/100000,""))</f>
        <v/>
      </c>
      <c r="B839" s="0" t="str">
        <f aca="false">IF(Documenti!C242="","",IF(Documenti!D242&lt;=90,Documenti!C242,""))</f>
        <v/>
      </c>
      <c r="C839" s="0" t="str">
        <f aca="false">IF(B839="","","Rinnovo · "&amp;Documenti!A242)</f>
        <v/>
      </c>
      <c r="D839" s="0" t="str">
        <f aca="false">IF(B839="","",Documenti!B242)</f>
        <v/>
      </c>
      <c r="E839" s="0" t="str">
        <f aca="false">IF(B839="","","Documento")</f>
        <v/>
      </c>
      <c r="F839" s="0" t="str">
        <f aca="true">IF(B839="","",IF(B839&lt;TODAY(),B839+ROW()/100000,""))</f>
        <v/>
      </c>
    </row>
    <row r="840" customFormat="false" ht="15" hidden="false" customHeight="false" outlineLevel="0" collapsed="false">
      <c r="A840" s="0" t="str">
        <f aca="true">IF(B840="","",IF(B840&gt;=TODAY(),B840+ROW()/100000,""))</f>
        <v/>
      </c>
      <c r="B840" s="0" t="str">
        <f aca="false">IF(Documenti!C243="","",IF(Documenti!D243&lt;=90,Documenti!C243,""))</f>
        <v/>
      </c>
      <c r="C840" s="0" t="str">
        <f aca="false">IF(B840="","","Rinnovo · "&amp;Documenti!A243)</f>
        <v/>
      </c>
      <c r="D840" s="0" t="str">
        <f aca="false">IF(B840="","",Documenti!B243)</f>
        <v/>
      </c>
      <c r="E840" s="0" t="str">
        <f aca="false">IF(B840="","","Documento")</f>
        <v/>
      </c>
      <c r="F840" s="0" t="str">
        <f aca="true">IF(B840="","",IF(B840&lt;TODAY(),B840+ROW()/100000,""))</f>
        <v/>
      </c>
    </row>
    <row r="841" customFormat="false" ht="15" hidden="false" customHeight="false" outlineLevel="0" collapsed="false">
      <c r="A841" s="0" t="str">
        <f aca="true">IF(B841="","",IF(B841&gt;=TODAY(),B841+ROW()/100000,""))</f>
        <v/>
      </c>
      <c r="B841" s="0" t="str">
        <f aca="false">IF(Documenti!C244="","",IF(Documenti!D244&lt;=90,Documenti!C244,""))</f>
        <v/>
      </c>
      <c r="C841" s="0" t="str">
        <f aca="false">IF(B841="","","Rinnovo · "&amp;Documenti!A244)</f>
        <v/>
      </c>
      <c r="D841" s="0" t="str">
        <f aca="false">IF(B841="","",Documenti!B244)</f>
        <v/>
      </c>
      <c r="E841" s="0" t="str">
        <f aca="false">IF(B841="","","Documento")</f>
        <v/>
      </c>
      <c r="F841" s="0" t="str">
        <f aca="true">IF(B841="","",IF(B841&lt;TODAY(),B841+ROW()/100000,""))</f>
        <v/>
      </c>
    </row>
    <row r="842" customFormat="false" ht="15" hidden="false" customHeight="false" outlineLevel="0" collapsed="false">
      <c r="A842" s="0" t="str">
        <f aca="true">IF(B842="","",IF(B842&gt;=TODAY(),B842+ROW()/100000,""))</f>
        <v/>
      </c>
      <c r="B842" s="0" t="str">
        <f aca="false">IF(Documenti!C245="","",IF(Documenti!D245&lt;=90,Documenti!C245,""))</f>
        <v/>
      </c>
      <c r="C842" s="0" t="str">
        <f aca="false">IF(B842="","","Rinnovo · "&amp;Documenti!A245)</f>
        <v/>
      </c>
      <c r="D842" s="0" t="str">
        <f aca="false">IF(B842="","",Documenti!B245)</f>
        <v/>
      </c>
      <c r="E842" s="0" t="str">
        <f aca="false">IF(B842="","","Documento")</f>
        <v/>
      </c>
      <c r="F842" s="0" t="str">
        <f aca="true">IF(B842="","",IF(B842&lt;TODAY(),B842+ROW()/100000,""))</f>
        <v/>
      </c>
    </row>
    <row r="843" customFormat="false" ht="15" hidden="false" customHeight="false" outlineLevel="0" collapsed="false">
      <c r="A843" s="0" t="str">
        <f aca="true">IF(B843="","",IF(B843&gt;=TODAY(),B843+ROW()/100000,""))</f>
        <v/>
      </c>
      <c r="B843" s="0" t="str">
        <f aca="false">IF(Documenti!C246="","",IF(Documenti!D246&lt;=90,Documenti!C246,""))</f>
        <v/>
      </c>
      <c r="C843" s="0" t="str">
        <f aca="false">IF(B843="","","Rinnovo · "&amp;Documenti!A246)</f>
        <v/>
      </c>
      <c r="D843" s="0" t="str">
        <f aca="false">IF(B843="","",Documenti!B246)</f>
        <v/>
      </c>
      <c r="E843" s="0" t="str">
        <f aca="false">IF(B843="","","Documento")</f>
        <v/>
      </c>
      <c r="F843" s="0" t="str">
        <f aca="true">IF(B843="","",IF(B843&lt;TODAY(),B843+ROW()/100000,""))</f>
        <v/>
      </c>
    </row>
    <row r="844" customFormat="false" ht="15" hidden="false" customHeight="false" outlineLevel="0" collapsed="false">
      <c r="A844" s="0" t="str">
        <f aca="true">IF(B844="","",IF(B844&gt;=TODAY(),B844+ROW()/100000,""))</f>
        <v/>
      </c>
      <c r="B844" s="0" t="str">
        <f aca="false">IF(Documenti!C247="","",IF(Documenti!D247&lt;=90,Documenti!C247,""))</f>
        <v/>
      </c>
      <c r="C844" s="0" t="str">
        <f aca="false">IF(B844="","","Rinnovo · "&amp;Documenti!A247)</f>
        <v/>
      </c>
      <c r="D844" s="0" t="str">
        <f aca="false">IF(B844="","",Documenti!B247)</f>
        <v/>
      </c>
      <c r="E844" s="0" t="str">
        <f aca="false">IF(B844="","","Documento")</f>
        <v/>
      </c>
      <c r="F844" s="0" t="str">
        <f aca="true">IF(B844="","",IF(B844&lt;TODAY(),B844+ROW()/100000,""))</f>
        <v/>
      </c>
    </row>
    <row r="845" customFormat="false" ht="15" hidden="false" customHeight="false" outlineLevel="0" collapsed="false">
      <c r="A845" s="0" t="str">
        <f aca="true">IF(B845="","",IF(B845&gt;=TODAY(),B845+ROW()/100000,""))</f>
        <v/>
      </c>
      <c r="B845" s="0" t="str">
        <f aca="false">IF(Documenti!C248="","",IF(Documenti!D248&lt;=90,Documenti!C248,""))</f>
        <v/>
      </c>
      <c r="C845" s="0" t="str">
        <f aca="false">IF(B845="","","Rinnovo · "&amp;Documenti!A248)</f>
        <v/>
      </c>
      <c r="D845" s="0" t="str">
        <f aca="false">IF(B845="","",Documenti!B248)</f>
        <v/>
      </c>
      <c r="E845" s="0" t="str">
        <f aca="false">IF(B845="","","Documento")</f>
        <v/>
      </c>
      <c r="F845" s="0" t="str">
        <f aca="true">IF(B845="","",IF(B845&lt;TODAY(),B845+ROW()/100000,""))</f>
        <v/>
      </c>
    </row>
    <row r="846" customFormat="false" ht="15" hidden="false" customHeight="false" outlineLevel="0" collapsed="false">
      <c r="A846" s="0" t="str">
        <f aca="true">IF(B846="","",IF(B846&gt;=TODAY(),B846+ROW()/100000,""))</f>
        <v/>
      </c>
      <c r="B846" s="0" t="str">
        <f aca="false">IF(Documenti!C249="","",IF(Documenti!D249&lt;=90,Documenti!C249,""))</f>
        <v/>
      </c>
      <c r="C846" s="0" t="str">
        <f aca="false">IF(B846="","","Rinnovo · "&amp;Documenti!A249)</f>
        <v/>
      </c>
      <c r="D846" s="0" t="str">
        <f aca="false">IF(B846="","",Documenti!B249)</f>
        <v/>
      </c>
      <c r="E846" s="0" t="str">
        <f aca="false">IF(B846="","","Documento")</f>
        <v/>
      </c>
      <c r="F846" s="0" t="str">
        <f aca="true">IF(B846="","",IF(B846&lt;TODAY(),B846+ROW()/100000,""))</f>
        <v/>
      </c>
    </row>
    <row r="847" customFormat="false" ht="15" hidden="false" customHeight="false" outlineLevel="0" collapsed="false">
      <c r="A847" s="0" t="str">
        <f aca="true">IF(B847="","",IF(B847&gt;=TODAY(),B847+ROW()/100000,""))</f>
        <v/>
      </c>
      <c r="B847" s="0" t="str">
        <f aca="false">IF(Documenti!C250="","",IF(Documenti!D250&lt;=90,Documenti!C250,""))</f>
        <v/>
      </c>
      <c r="C847" s="0" t="str">
        <f aca="false">IF(B847="","","Rinnovo · "&amp;Documenti!A250)</f>
        <v/>
      </c>
      <c r="D847" s="0" t="str">
        <f aca="false">IF(B847="","",Documenti!B250)</f>
        <v/>
      </c>
      <c r="E847" s="0" t="str">
        <f aca="false">IF(B847="","","Documento")</f>
        <v/>
      </c>
      <c r="F847" s="0" t="str">
        <f aca="true">IF(B847="","",IF(B847&lt;TODAY(),B847+ROW()/100000,""))</f>
        <v/>
      </c>
    </row>
    <row r="848" customFormat="false" ht="15" hidden="false" customHeight="false" outlineLevel="0" collapsed="false">
      <c r="A848" s="0" t="str">
        <f aca="true">IF(B848="","",IF(B848&gt;=TODAY(),B848+ROW()/100000,""))</f>
        <v/>
      </c>
      <c r="B848" s="0" t="str">
        <f aca="false">IF(Documenti!C251="","",IF(Documenti!D251&lt;=90,Documenti!C251,""))</f>
        <v/>
      </c>
      <c r="C848" s="0" t="str">
        <f aca="false">IF(B848="","","Rinnovo · "&amp;Documenti!A251)</f>
        <v/>
      </c>
      <c r="D848" s="0" t="str">
        <f aca="false">IF(B848="","",Documenti!B251)</f>
        <v/>
      </c>
      <c r="E848" s="0" t="str">
        <f aca="false">IF(B848="","","Documento")</f>
        <v/>
      </c>
      <c r="F848" s="0" t="str">
        <f aca="true">IF(B848="","",IF(B848&lt;TODAY(),B848+ROW()/100000,""))</f>
        <v/>
      </c>
    </row>
    <row r="849" customFormat="false" ht="15" hidden="false" customHeight="false" outlineLevel="0" collapsed="false">
      <c r="A849" s="0" t="str">
        <f aca="true">IF(B849="","",IF(B849&gt;=TODAY(),B849+ROW()/100000,""))</f>
        <v/>
      </c>
      <c r="B849" s="0" t="str">
        <f aca="false">IF(Documenti!C252="","",IF(Documenti!D252&lt;=90,Documenti!C252,""))</f>
        <v/>
      </c>
      <c r="C849" s="0" t="str">
        <f aca="false">IF(B849="","","Rinnovo · "&amp;Documenti!A252)</f>
        <v/>
      </c>
      <c r="D849" s="0" t="str">
        <f aca="false">IF(B849="","",Documenti!B252)</f>
        <v/>
      </c>
      <c r="E849" s="0" t="str">
        <f aca="false">IF(B849="","","Documento")</f>
        <v/>
      </c>
      <c r="F849" s="0" t="str">
        <f aca="true">IF(B849="","",IF(B849&lt;TODAY(),B849+ROW()/100000,""))</f>
        <v/>
      </c>
    </row>
    <row r="850" customFormat="false" ht="15" hidden="false" customHeight="false" outlineLevel="0" collapsed="false">
      <c r="A850" s="0" t="str">
        <f aca="true">IF(B850="","",IF(B850&gt;=TODAY(),B850+ROW()/100000,""))</f>
        <v/>
      </c>
      <c r="B850" s="0" t="str">
        <f aca="false">IF(Documenti!C253="","",IF(Documenti!D253&lt;=90,Documenti!C253,""))</f>
        <v/>
      </c>
      <c r="C850" s="0" t="str">
        <f aca="false">IF(B850="","","Rinnovo · "&amp;Documenti!A253)</f>
        <v/>
      </c>
      <c r="D850" s="0" t="str">
        <f aca="false">IF(B850="","",Documenti!B253)</f>
        <v/>
      </c>
      <c r="E850" s="0" t="str">
        <f aca="false">IF(B850="","","Documento")</f>
        <v/>
      </c>
      <c r="F850" s="0" t="str">
        <f aca="true">IF(B850="","",IF(B850&lt;TODAY(),B850+ROW()/100000,""))</f>
        <v/>
      </c>
    </row>
    <row r="851" customFormat="false" ht="15" hidden="false" customHeight="false" outlineLevel="0" collapsed="false">
      <c r="A851" s="0" t="str">
        <f aca="true">IF(B851="","",IF(B851&gt;=TODAY(),B851+ROW()/100000,""))</f>
        <v/>
      </c>
      <c r="B851" s="0" t="str">
        <f aca="false">IF(Documenti!C254="","",IF(Documenti!D254&lt;=90,Documenti!C254,""))</f>
        <v/>
      </c>
      <c r="C851" s="0" t="str">
        <f aca="false">IF(B851="","","Rinnovo · "&amp;Documenti!A254)</f>
        <v/>
      </c>
      <c r="D851" s="0" t="str">
        <f aca="false">IF(B851="","",Documenti!B254)</f>
        <v/>
      </c>
      <c r="E851" s="0" t="str">
        <f aca="false">IF(B851="","","Documento")</f>
        <v/>
      </c>
      <c r="F851" s="0" t="str">
        <f aca="true">IF(B851="","",IF(B851&lt;TODAY(),B851+ROW()/100000,""))</f>
        <v/>
      </c>
    </row>
    <row r="852" customFormat="false" ht="15" hidden="false" customHeight="false" outlineLevel="0" collapsed="false">
      <c r="A852" s="0" t="str">
        <f aca="true">IF(B852="","",IF(B852&gt;=TODAY(),B852+ROW()/100000,""))</f>
        <v/>
      </c>
      <c r="B852" s="0" t="str">
        <f aca="false">IF(Documenti!C255="","",IF(Documenti!D255&lt;=90,Documenti!C255,""))</f>
        <v/>
      </c>
      <c r="C852" s="0" t="str">
        <f aca="false">IF(B852="","","Rinnovo · "&amp;Documenti!A255)</f>
        <v/>
      </c>
      <c r="D852" s="0" t="str">
        <f aca="false">IF(B852="","",Documenti!B255)</f>
        <v/>
      </c>
      <c r="E852" s="0" t="str">
        <f aca="false">IF(B852="","","Documento")</f>
        <v/>
      </c>
      <c r="F852" s="0" t="str">
        <f aca="true">IF(B852="","",IF(B852&lt;TODAY(),B852+ROW()/100000,""))</f>
        <v/>
      </c>
    </row>
    <row r="853" customFormat="false" ht="15" hidden="false" customHeight="false" outlineLevel="0" collapsed="false">
      <c r="A853" s="0" t="str">
        <f aca="true">IF(B853="","",IF(B853&gt;=TODAY(),B853+ROW()/100000,""))</f>
        <v/>
      </c>
      <c r="B853" s="0" t="str">
        <f aca="false">IF(Documenti!C256="","",IF(Documenti!D256&lt;=90,Documenti!C256,""))</f>
        <v/>
      </c>
      <c r="C853" s="0" t="str">
        <f aca="false">IF(B853="","","Rinnovo · "&amp;Documenti!A256)</f>
        <v/>
      </c>
      <c r="D853" s="0" t="str">
        <f aca="false">IF(B853="","",Documenti!B256)</f>
        <v/>
      </c>
      <c r="E853" s="0" t="str">
        <f aca="false">IF(B853="","","Documento")</f>
        <v/>
      </c>
      <c r="F853" s="0" t="str">
        <f aca="true">IF(B853="","",IF(B853&lt;TODAY(),B853+ROW()/100000,""))</f>
        <v/>
      </c>
    </row>
    <row r="854" customFormat="false" ht="15" hidden="false" customHeight="false" outlineLevel="0" collapsed="false">
      <c r="A854" s="0" t="str">
        <f aca="true">IF(B854="","",IF(B854&gt;=TODAY(),B854+ROW()/100000,""))</f>
        <v/>
      </c>
      <c r="B854" s="0" t="str">
        <f aca="false">IF(Documenti!C257="","",IF(Documenti!D257&lt;=90,Documenti!C257,""))</f>
        <v/>
      </c>
      <c r="C854" s="0" t="str">
        <f aca="false">IF(B854="","","Rinnovo · "&amp;Documenti!A257)</f>
        <v/>
      </c>
      <c r="D854" s="0" t="str">
        <f aca="false">IF(B854="","",Documenti!B257)</f>
        <v/>
      </c>
      <c r="E854" s="0" t="str">
        <f aca="false">IF(B854="","","Documento")</f>
        <v/>
      </c>
      <c r="F854" s="0" t="str">
        <f aca="true">IF(B854="","",IF(B854&lt;TODAY(),B854+ROW()/100000,""))</f>
        <v/>
      </c>
    </row>
    <row r="855" customFormat="false" ht="15" hidden="false" customHeight="false" outlineLevel="0" collapsed="false">
      <c r="A855" s="0" t="str">
        <f aca="true">IF(B855="","",IF(B855&gt;=TODAY(),B855+ROW()/100000,""))</f>
        <v/>
      </c>
      <c r="B855" s="0" t="str">
        <f aca="false">IF(Documenti!C258="","",IF(Documenti!D258&lt;=90,Documenti!C258,""))</f>
        <v/>
      </c>
      <c r="C855" s="0" t="str">
        <f aca="false">IF(B855="","","Rinnovo · "&amp;Documenti!A258)</f>
        <v/>
      </c>
      <c r="D855" s="0" t="str">
        <f aca="false">IF(B855="","",Documenti!B258)</f>
        <v/>
      </c>
      <c r="E855" s="0" t="str">
        <f aca="false">IF(B855="","","Documento")</f>
        <v/>
      </c>
      <c r="F855" s="0" t="str">
        <f aca="true">IF(B855="","",IF(B855&lt;TODAY(),B855+ROW()/100000,""))</f>
        <v/>
      </c>
    </row>
    <row r="856" customFormat="false" ht="15" hidden="false" customHeight="false" outlineLevel="0" collapsed="false">
      <c r="A856" s="0" t="str">
        <f aca="true">IF(B856="","",IF(B856&gt;=TODAY(),B856+ROW()/100000,""))</f>
        <v/>
      </c>
      <c r="B856" s="0" t="str">
        <f aca="false">IF(Documenti!C259="","",IF(Documenti!D259&lt;=90,Documenti!C259,""))</f>
        <v/>
      </c>
      <c r="C856" s="0" t="str">
        <f aca="false">IF(B856="","","Rinnovo · "&amp;Documenti!A259)</f>
        <v/>
      </c>
      <c r="D856" s="0" t="str">
        <f aca="false">IF(B856="","",Documenti!B259)</f>
        <v/>
      </c>
      <c r="E856" s="0" t="str">
        <f aca="false">IF(B856="","","Documento")</f>
        <v/>
      </c>
      <c r="F856" s="0" t="str">
        <f aca="true">IF(B856="","",IF(B856&lt;TODAY(),B856+ROW()/100000,""))</f>
        <v/>
      </c>
    </row>
    <row r="857" customFormat="false" ht="15" hidden="false" customHeight="false" outlineLevel="0" collapsed="false">
      <c r="A857" s="0" t="str">
        <f aca="true">IF(B857="","",IF(B857&gt;=TODAY(),B857+ROW()/100000,""))</f>
        <v/>
      </c>
      <c r="B857" s="0" t="str">
        <f aca="false">IF(Documenti!C260="","",IF(Documenti!D260&lt;=90,Documenti!C260,""))</f>
        <v/>
      </c>
      <c r="C857" s="0" t="str">
        <f aca="false">IF(B857="","","Rinnovo · "&amp;Documenti!A260)</f>
        <v/>
      </c>
      <c r="D857" s="0" t="str">
        <f aca="false">IF(B857="","",Documenti!B260)</f>
        <v/>
      </c>
      <c r="E857" s="0" t="str">
        <f aca="false">IF(B857="","","Documento")</f>
        <v/>
      </c>
      <c r="F857" s="0" t="str">
        <f aca="true">IF(B857="","",IF(B857&lt;TODAY(),B857+ROW()/100000,""))</f>
        <v/>
      </c>
    </row>
    <row r="858" customFormat="false" ht="15" hidden="false" customHeight="false" outlineLevel="0" collapsed="false">
      <c r="A858" s="0" t="str">
        <f aca="true">IF(B858="","",IF(B858&gt;=TODAY(),B858+ROW()/100000,""))</f>
        <v/>
      </c>
      <c r="B858" s="0" t="str">
        <f aca="false">IF(Documenti!C261="","",IF(Documenti!D261&lt;=90,Documenti!C261,""))</f>
        <v/>
      </c>
      <c r="C858" s="0" t="str">
        <f aca="false">IF(B858="","","Rinnovo · "&amp;Documenti!A261)</f>
        <v/>
      </c>
      <c r="D858" s="0" t="str">
        <f aca="false">IF(B858="","",Documenti!B261)</f>
        <v/>
      </c>
      <c r="E858" s="0" t="str">
        <f aca="false">IF(B858="","","Documento")</f>
        <v/>
      </c>
      <c r="F858" s="0" t="str">
        <f aca="true">IF(B858="","",IF(B858&lt;TODAY(),B858+ROW()/100000,""))</f>
        <v/>
      </c>
    </row>
    <row r="859" customFormat="false" ht="15" hidden="false" customHeight="false" outlineLevel="0" collapsed="false">
      <c r="A859" s="0" t="str">
        <f aca="true">IF(B859="","",IF(B859&gt;=TODAY(),B859+ROW()/100000,""))</f>
        <v/>
      </c>
      <c r="B859" s="0" t="str">
        <f aca="false">IF(Documenti!C262="","",IF(Documenti!D262&lt;=90,Documenti!C262,""))</f>
        <v/>
      </c>
      <c r="C859" s="0" t="str">
        <f aca="false">IF(B859="","","Rinnovo · "&amp;Documenti!A262)</f>
        <v/>
      </c>
      <c r="D859" s="0" t="str">
        <f aca="false">IF(B859="","",Documenti!B262)</f>
        <v/>
      </c>
      <c r="E859" s="0" t="str">
        <f aca="false">IF(B859="","","Documento")</f>
        <v/>
      </c>
      <c r="F859" s="0" t="str">
        <f aca="true">IF(B859="","",IF(B859&lt;TODAY(),B859+ROW()/100000,""))</f>
        <v/>
      </c>
    </row>
    <row r="860" customFormat="false" ht="15" hidden="false" customHeight="false" outlineLevel="0" collapsed="false">
      <c r="A860" s="0" t="str">
        <f aca="true">IF(B860="","",IF(B860&gt;=TODAY(),B860+ROW()/100000,""))</f>
        <v/>
      </c>
      <c r="B860" s="0" t="str">
        <f aca="false">IF(Documenti!C263="","",IF(Documenti!D263&lt;=90,Documenti!C263,""))</f>
        <v/>
      </c>
      <c r="C860" s="0" t="str">
        <f aca="false">IF(B860="","","Rinnovo · "&amp;Documenti!A263)</f>
        <v/>
      </c>
      <c r="D860" s="0" t="str">
        <f aca="false">IF(B860="","",Documenti!B263)</f>
        <v/>
      </c>
      <c r="E860" s="0" t="str">
        <f aca="false">IF(B860="","","Documento")</f>
        <v/>
      </c>
      <c r="F860" s="0" t="str">
        <f aca="true">IF(B860="","",IF(B860&lt;TODAY(),B860+ROW()/100000,""))</f>
        <v/>
      </c>
    </row>
    <row r="861" customFormat="false" ht="15" hidden="false" customHeight="false" outlineLevel="0" collapsed="false">
      <c r="A861" s="0" t="str">
        <f aca="true">IF(B861="","",IF(B861&gt;=TODAY(),B861+ROW()/100000,""))</f>
        <v/>
      </c>
      <c r="B861" s="0" t="str">
        <f aca="false">IF(Documenti!C264="","",IF(Documenti!D264&lt;=90,Documenti!C264,""))</f>
        <v/>
      </c>
      <c r="C861" s="0" t="str">
        <f aca="false">IF(B861="","","Rinnovo · "&amp;Documenti!A264)</f>
        <v/>
      </c>
      <c r="D861" s="0" t="str">
        <f aca="false">IF(B861="","",Documenti!B264)</f>
        <v/>
      </c>
      <c r="E861" s="0" t="str">
        <f aca="false">IF(B861="","","Documento")</f>
        <v/>
      </c>
      <c r="F861" s="0" t="str">
        <f aca="true">IF(B861="","",IF(B861&lt;TODAY(),B861+ROW()/100000,""))</f>
        <v/>
      </c>
    </row>
    <row r="862" customFormat="false" ht="15" hidden="false" customHeight="false" outlineLevel="0" collapsed="false">
      <c r="A862" s="0" t="str">
        <f aca="true">IF(B862="","",IF(B862&gt;=TODAY(),B862+ROW()/100000,""))</f>
        <v/>
      </c>
      <c r="B862" s="0" t="str">
        <f aca="false">IF(Documenti!C265="","",IF(Documenti!D265&lt;=90,Documenti!C265,""))</f>
        <v/>
      </c>
      <c r="C862" s="0" t="str">
        <f aca="false">IF(B862="","","Rinnovo · "&amp;Documenti!A265)</f>
        <v/>
      </c>
      <c r="D862" s="0" t="str">
        <f aca="false">IF(B862="","",Documenti!B265)</f>
        <v/>
      </c>
      <c r="E862" s="0" t="str">
        <f aca="false">IF(B862="","","Documento")</f>
        <v/>
      </c>
      <c r="F862" s="0" t="str">
        <f aca="true">IF(B862="","",IF(B862&lt;TODAY(),B862+ROW()/100000,""))</f>
        <v/>
      </c>
    </row>
    <row r="863" customFormat="false" ht="15" hidden="false" customHeight="false" outlineLevel="0" collapsed="false">
      <c r="A863" s="0" t="str">
        <f aca="true">IF(B863="","",IF(B863&gt;=TODAY(),B863+ROW()/100000,""))</f>
        <v/>
      </c>
      <c r="B863" s="0" t="str">
        <f aca="false">IF(Documenti!C266="","",IF(Documenti!D266&lt;=90,Documenti!C266,""))</f>
        <v/>
      </c>
      <c r="C863" s="0" t="str">
        <f aca="false">IF(B863="","","Rinnovo · "&amp;Documenti!A266)</f>
        <v/>
      </c>
      <c r="D863" s="0" t="str">
        <f aca="false">IF(B863="","",Documenti!B266)</f>
        <v/>
      </c>
      <c r="E863" s="0" t="str">
        <f aca="false">IF(B863="","","Documento")</f>
        <v/>
      </c>
      <c r="F863" s="0" t="str">
        <f aca="true">IF(B863="","",IF(B863&lt;TODAY(),B863+ROW()/100000,""))</f>
        <v/>
      </c>
    </row>
    <row r="864" customFormat="false" ht="15" hidden="false" customHeight="false" outlineLevel="0" collapsed="false">
      <c r="A864" s="0" t="str">
        <f aca="true">IF(B864="","",IF(B864&gt;=TODAY(),B864+ROW()/100000,""))</f>
        <v/>
      </c>
      <c r="B864" s="0" t="str">
        <f aca="false">IF(Documenti!C267="","",IF(Documenti!D267&lt;=90,Documenti!C267,""))</f>
        <v/>
      </c>
      <c r="C864" s="0" t="str">
        <f aca="false">IF(B864="","","Rinnovo · "&amp;Documenti!A267)</f>
        <v/>
      </c>
      <c r="D864" s="0" t="str">
        <f aca="false">IF(B864="","",Documenti!B267)</f>
        <v/>
      </c>
      <c r="E864" s="0" t="str">
        <f aca="false">IF(B864="","","Documento")</f>
        <v/>
      </c>
      <c r="F864" s="0" t="str">
        <f aca="true">IF(B864="","",IF(B864&lt;TODAY(),B864+ROW()/100000,""))</f>
        <v/>
      </c>
    </row>
    <row r="865" customFormat="false" ht="15" hidden="false" customHeight="false" outlineLevel="0" collapsed="false">
      <c r="A865" s="0" t="str">
        <f aca="true">IF(B865="","",IF(B865&gt;=TODAY(),B865+ROW()/100000,""))</f>
        <v/>
      </c>
      <c r="B865" s="0" t="str">
        <f aca="false">IF(Documenti!C268="","",IF(Documenti!D268&lt;=90,Documenti!C268,""))</f>
        <v/>
      </c>
      <c r="C865" s="0" t="str">
        <f aca="false">IF(B865="","","Rinnovo · "&amp;Documenti!A268)</f>
        <v/>
      </c>
      <c r="D865" s="0" t="str">
        <f aca="false">IF(B865="","",Documenti!B268)</f>
        <v/>
      </c>
      <c r="E865" s="0" t="str">
        <f aca="false">IF(B865="","","Documento")</f>
        <v/>
      </c>
      <c r="F865" s="0" t="str">
        <f aca="true">IF(B865="","",IF(B865&lt;TODAY(),B865+ROW()/100000,""))</f>
        <v/>
      </c>
    </row>
    <row r="866" customFormat="false" ht="15" hidden="false" customHeight="false" outlineLevel="0" collapsed="false">
      <c r="A866" s="0" t="str">
        <f aca="true">IF(B866="","",IF(B866&gt;=TODAY(),B866+ROW()/100000,""))</f>
        <v/>
      </c>
      <c r="B866" s="0" t="str">
        <f aca="false">IF(Documenti!C269="","",IF(Documenti!D269&lt;=90,Documenti!C269,""))</f>
        <v/>
      </c>
      <c r="C866" s="0" t="str">
        <f aca="false">IF(B866="","","Rinnovo · "&amp;Documenti!A269)</f>
        <v/>
      </c>
      <c r="D866" s="0" t="str">
        <f aca="false">IF(B866="","",Documenti!B269)</f>
        <v/>
      </c>
      <c r="E866" s="0" t="str">
        <f aca="false">IF(B866="","","Documento")</f>
        <v/>
      </c>
      <c r="F866" s="0" t="str">
        <f aca="true">IF(B866="","",IF(B866&lt;TODAY(),B866+ROW()/100000,""))</f>
        <v/>
      </c>
    </row>
    <row r="867" customFormat="false" ht="15" hidden="false" customHeight="false" outlineLevel="0" collapsed="false">
      <c r="A867" s="0" t="str">
        <f aca="true">IF(B867="","",IF(B867&gt;=TODAY(),B867+ROW()/100000,""))</f>
        <v/>
      </c>
      <c r="B867" s="0" t="str">
        <f aca="false">IF(Documenti!C270="","",IF(Documenti!D270&lt;=90,Documenti!C270,""))</f>
        <v/>
      </c>
      <c r="C867" s="0" t="str">
        <f aca="false">IF(B867="","","Rinnovo · "&amp;Documenti!A270)</f>
        <v/>
      </c>
      <c r="D867" s="0" t="str">
        <f aca="false">IF(B867="","",Documenti!B270)</f>
        <v/>
      </c>
      <c r="E867" s="0" t="str">
        <f aca="false">IF(B867="","","Documento")</f>
        <v/>
      </c>
      <c r="F867" s="0" t="str">
        <f aca="true">IF(B867="","",IF(B867&lt;TODAY(),B867+ROW()/100000,""))</f>
        <v/>
      </c>
    </row>
    <row r="868" customFormat="false" ht="15" hidden="false" customHeight="false" outlineLevel="0" collapsed="false">
      <c r="A868" s="0" t="str">
        <f aca="true">IF(B868="","",IF(B868&gt;=TODAY(),B868+ROW()/100000,""))</f>
        <v/>
      </c>
      <c r="B868" s="0" t="str">
        <f aca="false">IF(Documenti!C271="","",IF(Documenti!D271&lt;=90,Documenti!C271,""))</f>
        <v/>
      </c>
      <c r="C868" s="0" t="str">
        <f aca="false">IF(B868="","","Rinnovo · "&amp;Documenti!A271)</f>
        <v/>
      </c>
      <c r="D868" s="0" t="str">
        <f aca="false">IF(B868="","",Documenti!B271)</f>
        <v/>
      </c>
      <c r="E868" s="0" t="str">
        <f aca="false">IF(B868="","","Documento")</f>
        <v/>
      </c>
      <c r="F868" s="0" t="str">
        <f aca="true">IF(B868="","",IF(B868&lt;TODAY(),B868+ROW()/100000,""))</f>
        <v/>
      </c>
    </row>
    <row r="869" customFormat="false" ht="15" hidden="false" customHeight="false" outlineLevel="0" collapsed="false">
      <c r="A869" s="0" t="str">
        <f aca="true">IF(B869="","",IF(B869&gt;=TODAY(),B869+ROW()/100000,""))</f>
        <v/>
      </c>
      <c r="B869" s="0" t="str">
        <f aca="false">IF(Documenti!C272="","",IF(Documenti!D272&lt;=90,Documenti!C272,""))</f>
        <v/>
      </c>
      <c r="C869" s="0" t="str">
        <f aca="false">IF(B869="","","Rinnovo · "&amp;Documenti!A272)</f>
        <v/>
      </c>
      <c r="D869" s="0" t="str">
        <f aca="false">IF(B869="","",Documenti!B272)</f>
        <v/>
      </c>
      <c r="E869" s="0" t="str">
        <f aca="false">IF(B869="","","Documento")</f>
        <v/>
      </c>
      <c r="F869" s="0" t="str">
        <f aca="true">IF(B869="","",IF(B869&lt;TODAY(),B869+ROW()/100000,""))</f>
        <v/>
      </c>
    </row>
    <row r="870" customFormat="false" ht="15" hidden="false" customHeight="false" outlineLevel="0" collapsed="false">
      <c r="A870" s="0" t="str">
        <f aca="true">IF(B870="","",IF(B870&gt;=TODAY(),B870+ROW()/100000,""))</f>
        <v/>
      </c>
      <c r="B870" s="0" t="str">
        <f aca="false">IF(Documenti!C273="","",IF(Documenti!D273&lt;=90,Documenti!C273,""))</f>
        <v/>
      </c>
      <c r="C870" s="0" t="str">
        <f aca="false">IF(B870="","","Rinnovo · "&amp;Documenti!A273)</f>
        <v/>
      </c>
      <c r="D870" s="0" t="str">
        <f aca="false">IF(B870="","",Documenti!B273)</f>
        <v/>
      </c>
      <c r="E870" s="0" t="str">
        <f aca="false">IF(B870="","","Documento")</f>
        <v/>
      </c>
      <c r="F870" s="0" t="str">
        <f aca="true">IF(B870="","",IF(B870&lt;TODAY(),B870+ROW()/100000,""))</f>
        <v/>
      </c>
    </row>
    <row r="871" customFormat="false" ht="15" hidden="false" customHeight="false" outlineLevel="0" collapsed="false">
      <c r="A871" s="0" t="str">
        <f aca="true">IF(B871="","",IF(B871&gt;=TODAY(),B871+ROW()/100000,""))</f>
        <v/>
      </c>
      <c r="B871" s="0" t="str">
        <f aca="false">IF(Documenti!C274="","",IF(Documenti!D274&lt;=90,Documenti!C274,""))</f>
        <v/>
      </c>
      <c r="C871" s="0" t="str">
        <f aca="false">IF(B871="","","Rinnovo · "&amp;Documenti!A274)</f>
        <v/>
      </c>
      <c r="D871" s="0" t="str">
        <f aca="false">IF(B871="","",Documenti!B274)</f>
        <v/>
      </c>
      <c r="E871" s="0" t="str">
        <f aca="false">IF(B871="","","Documento")</f>
        <v/>
      </c>
      <c r="F871" s="0" t="str">
        <f aca="true">IF(B871="","",IF(B871&lt;TODAY(),B871+ROW()/100000,""))</f>
        <v/>
      </c>
    </row>
    <row r="872" customFormat="false" ht="15" hidden="false" customHeight="false" outlineLevel="0" collapsed="false">
      <c r="A872" s="0" t="str">
        <f aca="true">IF(B872="","",IF(B872&gt;=TODAY(),B872+ROW()/100000,""))</f>
        <v/>
      </c>
      <c r="B872" s="0" t="str">
        <f aca="false">IF(Documenti!C275="","",IF(Documenti!D275&lt;=90,Documenti!C275,""))</f>
        <v/>
      </c>
      <c r="C872" s="0" t="str">
        <f aca="false">IF(B872="","","Rinnovo · "&amp;Documenti!A275)</f>
        <v/>
      </c>
      <c r="D872" s="0" t="str">
        <f aca="false">IF(B872="","",Documenti!B275)</f>
        <v/>
      </c>
      <c r="E872" s="0" t="str">
        <f aca="false">IF(B872="","","Documento")</f>
        <v/>
      </c>
      <c r="F872" s="0" t="str">
        <f aca="true">IF(B872="","",IF(B872&lt;TODAY(),B872+ROW()/100000,""))</f>
        <v/>
      </c>
    </row>
    <row r="873" customFormat="false" ht="15" hidden="false" customHeight="false" outlineLevel="0" collapsed="false">
      <c r="A873" s="0" t="str">
        <f aca="true">IF(B873="","",IF(B873&gt;=TODAY(),B873+ROW()/100000,""))</f>
        <v/>
      </c>
      <c r="B873" s="0" t="str">
        <f aca="false">IF(Documenti!C276="","",IF(Documenti!D276&lt;=90,Documenti!C276,""))</f>
        <v/>
      </c>
      <c r="C873" s="0" t="str">
        <f aca="false">IF(B873="","","Rinnovo · "&amp;Documenti!A276)</f>
        <v/>
      </c>
      <c r="D873" s="0" t="str">
        <f aca="false">IF(B873="","",Documenti!B276)</f>
        <v/>
      </c>
      <c r="E873" s="0" t="str">
        <f aca="false">IF(B873="","","Documento")</f>
        <v/>
      </c>
      <c r="F873" s="0" t="str">
        <f aca="true">IF(B873="","",IF(B873&lt;TODAY(),B873+ROW()/100000,""))</f>
        <v/>
      </c>
    </row>
    <row r="874" customFormat="false" ht="15" hidden="false" customHeight="false" outlineLevel="0" collapsed="false">
      <c r="A874" s="0" t="str">
        <f aca="true">IF(B874="","",IF(B874&gt;=TODAY(),B874+ROW()/100000,""))</f>
        <v/>
      </c>
      <c r="B874" s="0" t="str">
        <f aca="false">IF(Documenti!C277="","",IF(Documenti!D277&lt;=90,Documenti!C277,""))</f>
        <v/>
      </c>
      <c r="C874" s="0" t="str">
        <f aca="false">IF(B874="","","Rinnovo · "&amp;Documenti!A277)</f>
        <v/>
      </c>
      <c r="D874" s="0" t="str">
        <f aca="false">IF(B874="","",Documenti!B277)</f>
        <v/>
      </c>
      <c r="E874" s="0" t="str">
        <f aca="false">IF(B874="","","Documento")</f>
        <v/>
      </c>
      <c r="F874" s="0" t="str">
        <f aca="true">IF(B874="","",IF(B874&lt;TODAY(),B874+ROW()/100000,""))</f>
        <v/>
      </c>
    </row>
    <row r="875" customFormat="false" ht="15" hidden="false" customHeight="false" outlineLevel="0" collapsed="false">
      <c r="A875" s="0" t="str">
        <f aca="true">IF(B875="","",IF(B875&gt;=TODAY(),B875+ROW()/100000,""))</f>
        <v/>
      </c>
      <c r="B875" s="0" t="str">
        <f aca="false">IF(Documenti!C278="","",IF(Documenti!D278&lt;=90,Documenti!C278,""))</f>
        <v/>
      </c>
      <c r="C875" s="0" t="str">
        <f aca="false">IF(B875="","","Rinnovo · "&amp;Documenti!A278)</f>
        <v/>
      </c>
      <c r="D875" s="0" t="str">
        <f aca="false">IF(B875="","",Documenti!B278)</f>
        <v/>
      </c>
      <c r="E875" s="0" t="str">
        <f aca="false">IF(B875="","","Documento")</f>
        <v/>
      </c>
      <c r="F875" s="0" t="str">
        <f aca="true">IF(B875="","",IF(B875&lt;TODAY(),B875+ROW()/100000,""))</f>
        <v/>
      </c>
    </row>
    <row r="876" customFormat="false" ht="15" hidden="false" customHeight="false" outlineLevel="0" collapsed="false">
      <c r="A876" s="0" t="str">
        <f aca="true">IF(B876="","",IF(B876&gt;=TODAY(),B876+ROW()/100000,""))</f>
        <v/>
      </c>
      <c r="B876" s="0" t="str">
        <f aca="false">IF(Documenti!C279="","",IF(Documenti!D279&lt;=90,Documenti!C279,""))</f>
        <v/>
      </c>
      <c r="C876" s="0" t="str">
        <f aca="false">IF(B876="","","Rinnovo · "&amp;Documenti!A279)</f>
        <v/>
      </c>
      <c r="D876" s="0" t="str">
        <f aca="false">IF(B876="","",Documenti!B279)</f>
        <v/>
      </c>
      <c r="E876" s="0" t="str">
        <f aca="false">IF(B876="","","Documento")</f>
        <v/>
      </c>
      <c r="F876" s="0" t="str">
        <f aca="true">IF(B876="","",IF(B876&lt;TODAY(),B876+ROW()/100000,""))</f>
        <v/>
      </c>
    </row>
    <row r="877" customFormat="false" ht="15" hidden="false" customHeight="false" outlineLevel="0" collapsed="false">
      <c r="A877" s="0" t="str">
        <f aca="true">IF(B877="","",IF(B877&gt;=TODAY(),B877+ROW()/100000,""))</f>
        <v/>
      </c>
      <c r="B877" s="0" t="str">
        <f aca="false">IF(Documenti!C280="","",IF(Documenti!D280&lt;=90,Documenti!C280,""))</f>
        <v/>
      </c>
      <c r="C877" s="0" t="str">
        <f aca="false">IF(B877="","","Rinnovo · "&amp;Documenti!A280)</f>
        <v/>
      </c>
      <c r="D877" s="0" t="str">
        <f aca="false">IF(B877="","",Documenti!B280)</f>
        <v/>
      </c>
      <c r="E877" s="0" t="str">
        <f aca="false">IF(B877="","","Documento")</f>
        <v/>
      </c>
      <c r="F877" s="0" t="str">
        <f aca="true">IF(B877="","",IF(B877&lt;TODAY(),B877+ROW()/100000,""))</f>
        <v/>
      </c>
    </row>
    <row r="878" customFormat="false" ht="15" hidden="false" customHeight="false" outlineLevel="0" collapsed="false">
      <c r="A878" s="0" t="str">
        <f aca="true">IF(B878="","",IF(B878&gt;=TODAY(),B878+ROW()/100000,""))</f>
        <v/>
      </c>
      <c r="B878" s="0" t="str">
        <f aca="false">IF(Documenti!C281="","",IF(Documenti!D281&lt;=90,Documenti!C281,""))</f>
        <v/>
      </c>
      <c r="C878" s="0" t="str">
        <f aca="false">IF(B878="","","Rinnovo · "&amp;Documenti!A281)</f>
        <v/>
      </c>
      <c r="D878" s="0" t="str">
        <f aca="false">IF(B878="","",Documenti!B281)</f>
        <v/>
      </c>
      <c r="E878" s="0" t="str">
        <f aca="false">IF(B878="","","Documento")</f>
        <v/>
      </c>
      <c r="F878" s="0" t="str">
        <f aca="true">IF(B878="","",IF(B878&lt;TODAY(),B878+ROW()/100000,""))</f>
        <v/>
      </c>
    </row>
    <row r="879" customFormat="false" ht="15" hidden="false" customHeight="false" outlineLevel="0" collapsed="false">
      <c r="A879" s="0" t="str">
        <f aca="true">IF(B879="","",IF(B879&gt;=TODAY(),B879+ROW()/100000,""))</f>
        <v/>
      </c>
      <c r="B879" s="0" t="str">
        <f aca="false">IF(Documenti!C282="","",IF(Documenti!D282&lt;=90,Documenti!C282,""))</f>
        <v/>
      </c>
      <c r="C879" s="0" t="str">
        <f aca="false">IF(B879="","","Rinnovo · "&amp;Documenti!A282)</f>
        <v/>
      </c>
      <c r="D879" s="0" t="str">
        <f aca="false">IF(B879="","",Documenti!B282)</f>
        <v/>
      </c>
      <c r="E879" s="0" t="str">
        <f aca="false">IF(B879="","","Documento")</f>
        <v/>
      </c>
      <c r="F879" s="0" t="str">
        <f aca="true">IF(B879="","",IF(B879&lt;TODAY(),B879+ROW()/100000,""))</f>
        <v/>
      </c>
    </row>
    <row r="880" customFormat="false" ht="15" hidden="false" customHeight="false" outlineLevel="0" collapsed="false">
      <c r="A880" s="0" t="str">
        <f aca="true">IF(B880="","",IF(B880&gt;=TODAY(),B880+ROW()/100000,""))</f>
        <v/>
      </c>
      <c r="B880" s="0" t="str">
        <f aca="false">IF(Documenti!C283="","",IF(Documenti!D283&lt;=90,Documenti!C283,""))</f>
        <v/>
      </c>
      <c r="C880" s="0" t="str">
        <f aca="false">IF(B880="","","Rinnovo · "&amp;Documenti!A283)</f>
        <v/>
      </c>
      <c r="D880" s="0" t="str">
        <f aca="false">IF(B880="","",Documenti!B283)</f>
        <v/>
      </c>
      <c r="E880" s="0" t="str">
        <f aca="false">IF(B880="","","Documento")</f>
        <v/>
      </c>
      <c r="F880" s="0" t="str">
        <f aca="true">IF(B880="","",IF(B880&lt;TODAY(),B880+ROW()/100000,""))</f>
        <v/>
      </c>
    </row>
    <row r="881" customFormat="false" ht="15" hidden="false" customHeight="false" outlineLevel="0" collapsed="false">
      <c r="A881" s="0" t="str">
        <f aca="true">IF(B881="","",IF(B881&gt;=TODAY(),B881+ROW()/100000,""))</f>
        <v/>
      </c>
      <c r="B881" s="0" t="str">
        <f aca="false">IF(Documenti!C284="","",IF(Documenti!D284&lt;=90,Documenti!C284,""))</f>
        <v/>
      </c>
      <c r="C881" s="0" t="str">
        <f aca="false">IF(B881="","","Rinnovo · "&amp;Documenti!A284)</f>
        <v/>
      </c>
      <c r="D881" s="0" t="str">
        <f aca="false">IF(B881="","",Documenti!B284)</f>
        <v/>
      </c>
      <c r="E881" s="0" t="str">
        <f aca="false">IF(B881="","","Documento")</f>
        <v/>
      </c>
      <c r="F881" s="0" t="str">
        <f aca="true">IF(B881="","",IF(B881&lt;TODAY(),B881+ROW()/100000,""))</f>
        <v/>
      </c>
    </row>
    <row r="882" customFormat="false" ht="15" hidden="false" customHeight="false" outlineLevel="0" collapsed="false">
      <c r="A882" s="0" t="str">
        <f aca="true">IF(B882="","",IF(B882&gt;=TODAY(),B882+ROW()/100000,""))</f>
        <v/>
      </c>
      <c r="B882" s="0" t="str">
        <f aca="false">IF(Documenti!C285="","",IF(Documenti!D285&lt;=90,Documenti!C285,""))</f>
        <v/>
      </c>
      <c r="C882" s="0" t="str">
        <f aca="false">IF(B882="","","Rinnovo · "&amp;Documenti!A285)</f>
        <v/>
      </c>
      <c r="D882" s="0" t="str">
        <f aca="false">IF(B882="","",Documenti!B285)</f>
        <v/>
      </c>
      <c r="E882" s="0" t="str">
        <f aca="false">IF(B882="","","Documento")</f>
        <v/>
      </c>
      <c r="F882" s="0" t="str">
        <f aca="true">IF(B882="","",IF(B882&lt;TODAY(),B882+ROW()/100000,""))</f>
        <v/>
      </c>
    </row>
    <row r="883" customFormat="false" ht="15" hidden="false" customHeight="false" outlineLevel="0" collapsed="false">
      <c r="A883" s="0" t="str">
        <f aca="true">IF(B883="","",IF(B883&gt;=TODAY(),B883+ROW()/100000,""))</f>
        <v/>
      </c>
      <c r="B883" s="0" t="str">
        <f aca="false">IF(Documenti!C286="","",IF(Documenti!D286&lt;=90,Documenti!C286,""))</f>
        <v/>
      </c>
      <c r="C883" s="0" t="str">
        <f aca="false">IF(B883="","","Rinnovo · "&amp;Documenti!A286)</f>
        <v/>
      </c>
      <c r="D883" s="0" t="str">
        <f aca="false">IF(B883="","",Documenti!B286)</f>
        <v/>
      </c>
      <c r="E883" s="0" t="str">
        <f aca="false">IF(B883="","","Documento")</f>
        <v/>
      </c>
      <c r="F883" s="0" t="str">
        <f aca="true">IF(B883="","",IF(B883&lt;TODAY(),B883+ROW()/100000,""))</f>
        <v/>
      </c>
    </row>
    <row r="884" customFormat="false" ht="15" hidden="false" customHeight="false" outlineLevel="0" collapsed="false">
      <c r="A884" s="0" t="str">
        <f aca="true">IF(B884="","",IF(B884&gt;=TODAY(),B884+ROW()/100000,""))</f>
        <v/>
      </c>
      <c r="B884" s="0" t="str">
        <f aca="false">IF(Documenti!C287="","",IF(Documenti!D287&lt;=90,Documenti!C287,""))</f>
        <v/>
      </c>
      <c r="C884" s="0" t="str">
        <f aca="false">IF(B884="","","Rinnovo · "&amp;Documenti!A287)</f>
        <v/>
      </c>
      <c r="D884" s="0" t="str">
        <f aca="false">IF(B884="","",Documenti!B287)</f>
        <v/>
      </c>
      <c r="E884" s="0" t="str">
        <f aca="false">IF(B884="","","Documento")</f>
        <v/>
      </c>
      <c r="F884" s="0" t="str">
        <f aca="true">IF(B884="","",IF(B884&lt;TODAY(),B884+ROW()/100000,""))</f>
        <v/>
      </c>
    </row>
    <row r="885" customFormat="false" ht="15" hidden="false" customHeight="false" outlineLevel="0" collapsed="false">
      <c r="A885" s="0" t="str">
        <f aca="true">IF(B885="","",IF(B885&gt;=TODAY(),B885+ROW()/100000,""))</f>
        <v/>
      </c>
      <c r="B885" s="0" t="str">
        <f aca="false">IF(Documenti!C288="","",IF(Documenti!D288&lt;=90,Documenti!C288,""))</f>
        <v/>
      </c>
      <c r="C885" s="0" t="str">
        <f aca="false">IF(B885="","","Rinnovo · "&amp;Documenti!A288)</f>
        <v/>
      </c>
      <c r="D885" s="0" t="str">
        <f aca="false">IF(B885="","",Documenti!B288)</f>
        <v/>
      </c>
      <c r="E885" s="0" t="str">
        <f aca="false">IF(B885="","","Documento")</f>
        <v/>
      </c>
      <c r="F885" s="0" t="str">
        <f aca="true">IF(B885="","",IF(B885&lt;TODAY(),B885+ROW()/100000,""))</f>
        <v/>
      </c>
    </row>
    <row r="886" customFormat="false" ht="15" hidden="false" customHeight="false" outlineLevel="0" collapsed="false">
      <c r="A886" s="0" t="str">
        <f aca="true">IF(B886="","",IF(B886&gt;=TODAY(),B886+ROW()/100000,""))</f>
        <v/>
      </c>
      <c r="B886" s="0" t="str">
        <f aca="false">IF(Documenti!C289="","",IF(Documenti!D289&lt;=90,Documenti!C289,""))</f>
        <v/>
      </c>
      <c r="C886" s="0" t="str">
        <f aca="false">IF(B886="","","Rinnovo · "&amp;Documenti!A289)</f>
        <v/>
      </c>
      <c r="D886" s="0" t="str">
        <f aca="false">IF(B886="","",Documenti!B289)</f>
        <v/>
      </c>
      <c r="E886" s="0" t="str">
        <f aca="false">IF(B886="","","Documento")</f>
        <v/>
      </c>
      <c r="F886" s="0" t="str">
        <f aca="true">IF(B886="","",IF(B886&lt;TODAY(),B886+ROW()/100000,""))</f>
        <v/>
      </c>
    </row>
    <row r="887" customFormat="false" ht="15" hidden="false" customHeight="false" outlineLevel="0" collapsed="false">
      <c r="A887" s="0" t="str">
        <f aca="true">IF(B887="","",IF(B887&gt;=TODAY(),B887+ROW()/100000,""))</f>
        <v/>
      </c>
      <c r="B887" s="0" t="str">
        <f aca="false">IF(Documenti!C290="","",IF(Documenti!D290&lt;=90,Documenti!C290,""))</f>
        <v/>
      </c>
      <c r="C887" s="0" t="str">
        <f aca="false">IF(B887="","","Rinnovo · "&amp;Documenti!A290)</f>
        <v/>
      </c>
      <c r="D887" s="0" t="str">
        <f aca="false">IF(B887="","",Documenti!B290)</f>
        <v/>
      </c>
      <c r="E887" s="0" t="str">
        <f aca="false">IF(B887="","","Documento")</f>
        <v/>
      </c>
      <c r="F887" s="0" t="str">
        <f aca="true">IF(B887="","",IF(B887&lt;TODAY(),B887+ROW()/100000,""))</f>
        <v/>
      </c>
    </row>
    <row r="888" customFormat="false" ht="15" hidden="false" customHeight="false" outlineLevel="0" collapsed="false">
      <c r="A888" s="0" t="str">
        <f aca="true">IF(B888="","",IF(B888&gt;=TODAY(),B888+ROW()/100000,""))</f>
        <v/>
      </c>
      <c r="B888" s="0" t="str">
        <f aca="false">IF(Documenti!C291="","",IF(Documenti!D291&lt;=90,Documenti!C291,""))</f>
        <v/>
      </c>
      <c r="C888" s="0" t="str">
        <f aca="false">IF(B888="","","Rinnovo · "&amp;Documenti!A291)</f>
        <v/>
      </c>
      <c r="D888" s="0" t="str">
        <f aca="false">IF(B888="","",Documenti!B291)</f>
        <v/>
      </c>
      <c r="E888" s="0" t="str">
        <f aca="false">IF(B888="","","Documento")</f>
        <v/>
      </c>
      <c r="F888" s="0" t="str">
        <f aca="true">IF(B888="","",IF(B888&lt;TODAY(),B888+ROW()/100000,""))</f>
        <v/>
      </c>
    </row>
    <row r="889" customFormat="false" ht="15" hidden="false" customHeight="false" outlineLevel="0" collapsed="false">
      <c r="A889" s="0" t="str">
        <f aca="true">IF(B889="","",IF(B889&gt;=TODAY(),B889+ROW()/100000,""))</f>
        <v/>
      </c>
      <c r="B889" s="0" t="str">
        <f aca="false">IF(Documenti!C292="","",IF(Documenti!D292&lt;=90,Documenti!C292,""))</f>
        <v/>
      </c>
      <c r="C889" s="0" t="str">
        <f aca="false">IF(B889="","","Rinnovo · "&amp;Documenti!A292)</f>
        <v/>
      </c>
      <c r="D889" s="0" t="str">
        <f aca="false">IF(B889="","",Documenti!B292)</f>
        <v/>
      </c>
      <c r="E889" s="0" t="str">
        <f aca="false">IF(B889="","","Documento")</f>
        <v/>
      </c>
      <c r="F889" s="0" t="str">
        <f aca="true">IF(B889="","",IF(B889&lt;TODAY(),B889+ROW()/100000,""))</f>
        <v/>
      </c>
    </row>
    <row r="890" customFormat="false" ht="15" hidden="false" customHeight="false" outlineLevel="0" collapsed="false">
      <c r="A890" s="0" t="str">
        <f aca="true">IF(B890="","",IF(B890&gt;=TODAY(),B890+ROW()/100000,""))</f>
        <v/>
      </c>
      <c r="B890" s="0" t="str">
        <f aca="false">IF(Documenti!C293="","",IF(Documenti!D293&lt;=90,Documenti!C293,""))</f>
        <v/>
      </c>
      <c r="C890" s="0" t="str">
        <f aca="false">IF(B890="","","Rinnovo · "&amp;Documenti!A293)</f>
        <v/>
      </c>
      <c r="D890" s="0" t="str">
        <f aca="false">IF(B890="","",Documenti!B293)</f>
        <v/>
      </c>
      <c r="E890" s="0" t="str">
        <f aca="false">IF(B890="","","Documento")</f>
        <v/>
      </c>
      <c r="F890" s="0" t="str">
        <f aca="true">IF(B890="","",IF(B890&lt;TODAY(),B890+ROW()/100000,""))</f>
        <v/>
      </c>
    </row>
    <row r="891" customFormat="false" ht="15" hidden="false" customHeight="false" outlineLevel="0" collapsed="false">
      <c r="A891" s="0" t="str">
        <f aca="true">IF(B891="","",IF(B891&gt;=TODAY(),B891+ROW()/100000,""))</f>
        <v/>
      </c>
      <c r="B891" s="0" t="str">
        <f aca="false">IF(Documenti!C294="","",IF(Documenti!D294&lt;=90,Documenti!C294,""))</f>
        <v/>
      </c>
      <c r="C891" s="0" t="str">
        <f aca="false">IF(B891="","","Rinnovo · "&amp;Documenti!A294)</f>
        <v/>
      </c>
      <c r="D891" s="0" t="str">
        <f aca="false">IF(B891="","",Documenti!B294)</f>
        <v/>
      </c>
      <c r="E891" s="0" t="str">
        <f aca="false">IF(B891="","","Documento")</f>
        <v/>
      </c>
      <c r="F891" s="0" t="str">
        <f aca="true">IF(B891="","",IF(B891&lt;TODAY(),B891+ROW()/100000,""))</f>
        <v/>
      </c>
    </row>
    <row r="892" customFormat="false" ht="15" hidden="false" customHeight="false" outlineLevel="0" collapsed="false">
      <c r="A892" s="0" t="str">
        <f aca="true">IF(B892="","",IF(B892&gt;=TODAY(),B892+ROW()/100000,""))</f>
        <v/>
      </c>
      <c r="B892" s="0" t="str">
        <f aca="false">IF(Documenti!C295="","",IF(Documenti!D295&lt;=90,Documenti!C295,""))</f>
        <v/>
      </c>
      <c r="C892" s="0" t="str">
        <f aca="false">IF(B892="","","Rinnovo · "&amp;Documenti!A295)</f>
        <v/>
      </c>
      <c r="D892" s="0" t="str">
        <f aca="false">IF(B892="","",Documenti!B295)</f>
        <v/>
      </c>
      <c r="E892" s="0" t="str">
        <f aca="false">IF(B892="","","Documento")</f>
        <v/>
      </c>
      <c r="F892" s="0" t="str">
        <f aca="true">IF(B892="","",IF(B892&lt;TODAY(),B892+ROW()/100000,""))</f>
        <v/>
      </c>
    </row>
    <row r="893" customFormat="false" ht="15" hidden="false" customHeight="false" outlineLevel="0" collapsed="false">
      <c r="A893" s="0" t="str">
        <f aca="true">IF(B893="","",IF(B893&gt;=TODAY(),B893+ROW()/100000,""))</f>
        <v/>
      </c>
      <c r="B893" s="0" t="str">
        <f aca="false">IF(Documenti!C296="","",IF(Documenti!D296&lt;=90,Documenti!C296,""))</f>
        <v/>
      </c>
      <c r="C893" s="0" t="str">
        <f aca="false">IF(B893="","","Rinnovo · "&amp;Documenti!A296)</f>
        <v/>
      </c>
      <c r="D893" s="0" t="str">
        <f aca="false">IF(B893="","",Documenti!B296)</f>
        <v/>
      </c>
      <c r="E893" s="0" t="str">
        <f aca="false">IF(B893="","","Documento")</f>
        <v/>
      </c>
      <c r="F893" s="0" t="str">
        <f aca="true">IF(B893="","",IF(B893&lt;TODAY(),B893+ROW()/100000,""))</f>
        <v/>
      </c>
    </row>
    <row r="894" customFormat="false" ht="15" hidden="false" customHeight="false" outlineLevel="0" collapsed="false">
      <c r="A894" s="0" t="str">
        <f aca="true">IF(B894="","",IF(B894&gt;=TODAY(),B894+ROW()/100000,""))</f>
        <v/>
      </c>
      <c r="B894" s="0" t="str">
        <f aca="false">IF(Documenti!C297="","",IF(Documenti!D297&lt;=90,Documenti!C297,""))</f>
        <v/>
      </c>
      <c r="C894" s="0" t="str">
        <f aca="false">IF(B894="","","Rinnovo · "&amp;Documenti!A297)</f>
        <v/>
      </c>
      <c r="D894" s="0" t="str">
        <f aca="false">IF(B894="","",Documenti!B297)</f>
        <v/>
      </c>
      <c r="E894" s="0" t="str">
        <f aca="false">IF(B894="","","Documento")</f>
        <v/>
      </c>
      <c r="F894" s="0" t="str">
        <f aca="true">IF(B894="","",IF(B894&lt;TODAY(),B894+ROW()/100000,""))</f>
        <v/>
      </c>
    </row>
    <row r="895" customFormat="false" ht="15" hidden="false" customHeight="false" outlineLevel="0" collapsed="false">
      <c r="A895" s="0" t="str">
        <f aca="true">IF(B895="","",IF(B895&gt;=TODAY(),B895+ROW()/100000,""))</f>
        <v/>
      </c>
      <c r="B895" s="0" t="str">
        <f aca="false">IF(Documenti!C298="","",IF(Documenti!D298&lt;=90,Documenti!C298,""))</f>
        <v/>
      </c>
      <c r="C895" s="0" t="str">
        <f aca="false">IF(B895="","","Rinnovo · "&amp;Documenti!A298)</f>
        <v/>
      </c>
      <c r="D895" s="0" t="str">
        <f aca="false">IF(B895="","",Documenti!B298)</f>
        <v/>
      </c>
      <c r="E895" s="0" t="str">
        <f aca="false">IF(B895="","","Documento")</f>
        <v/>
      </c>
      <c r="F895" s="0" t="str">
        <f aca="true">IF(B895="","",IF(B895&lt;TODAY(),B895+ROW()/100000,""))</f>
        <v/>
      </c>
    </row>
    <row r="896" customFormat="false" ht="15" hidden="false" customHeight="false" outlineLevel="0" collapsed="false">
      <c r="A896" s="0" t="str">
        <f aca="true">IF(B896="","",IF(B896&gt;=TODAY(),B896+ROW()/100000,""))</f>
        <v/>
      </c>
      <c r="B896" s="0" t="str">
        <f aca="false">IF(Documenti!C299="","",IF(Documenti!D299&lt;=90,Documenti!C299,""))</f>
        <v/>
      </c>
      <c r="C896" s="0" t="str">
        <f aca="false">IF(B896="","","Rinnovo · "&amp;Documenti!A299)</f>
        <v/>
      </c>
      <c r="D896" s="0" t="str">
        <f aca="false">IF(B896="","",Documenti!B299)</f>
        <v/>
      </c>
      <c r="E896" s="0" t="str">
        <f aca="false">IF(B896="","","Documento")</f>
        <v/>
      </c>
      <c r="F896" s="0" t="str">
        <f aca="true">IF(B896="","",IF(B896&lt;TODAY(),B896+ROW()/100000,""))</f>
        <v/>
      </c>
    </row>
    <row r="897" customFormat="false" ht="15" hidden="false" customHeight="false" outlineLevel="0" collapsed="false">
      <c r="A897" s="0" t="str">
        <f aca="true">IF(B897="","",IF(B897&gt;=TODAY(),B897+ROW()/100000,""))</f>
        <v/>
      </c>
      <c r="B897" s="0" t="str">
        <f aca="false">IF(Documenti!C300="","",IF(Documenti!D300&lt;=90,Documenti!C300,""))</f>
        <v/>
      </c>
      <c r="C897" s="0" t="str">
        <f aca="false">IF(B897="","","Rinnovo · "&amp;Documenti!A300)</f>
        <v/>
      </c>
      <c r="D897" s="0" t="str">
        <f aca="false">IF(B897="","",Documenti!B300)</f>
        <v/>
      </c>
      <c r="E897" s="0" t="str">
        <f aca="false">IF(B897="","","Documento")</f>
        <v/>
      </c>
      <c r="F897" s="0" t="str">
        <f aca="true">IF(B897="","",IF(B897&lt;TODAY(),B897+ROW()/100000,""))</f>
        <v/>
      </c>
    </row>
    <row r="898" customFormat="false" ht="15" hidden="false" customHeight="false" outlineLevel="0" collapsed="false">
      <c r="A898" s="0" t="str">
        <f aca="true">IF(B898="","",IF(B898&gt;=TODAY(),B898+ROW()/100000,""))</f>
        <v/>
      </c>
      <c r="B898" s="0" t="str">
        <f aca="false">IF(Documenti!C301="","",IF(Documenti!D301&lt;=90,Documenti!C301,""))</f>
        <v/>
      </c>
      <c r="C898" s="0" t="str">
        <f aca="false">IF(B898="","","Rinnovo · "&amp;Documenti!A301)</f>
        <v/>
      </c>
      <c r="D898" s="0" t="str">
        <f aca="false">IF(B898="","",Documenti!B301)</f>
        <v/>
      </c>
      <c r="E898" s="0" t="str">
        <f aca="false">IF(B898="","","Documento")</f>
        <v/>
      </c>
      <c r="F898" s="0" t="str">
        <f aca="true">IF(B898="","",IF(B898&lt;TODAY(),B898+ROW()/100000,""))</f>
        <v/>
      </c>
    </row>
    <row r="899" customFormat="false" ht="15" hidden="false" customHeight="false" outlineLevel="0" collapsed="false">
      <c r="A899" s="0" t="str">
        <f aca="true">IF(B899="","",IF(B899&gt;=TODAY(),B899+ROW()/100000,""))</f>
        <v/>
      </c>
      <c r="B899" s="0" t="str">
        <f aca="false">IF(Documenti!C302="","",IF(Documenti!D302&lt;=90,Documenti!C302,""))</f>
        <v/>
      </c>
      <c r="C899" s="0" t="str">
        <f aca="false">IF(B899="","","Rinnovo · "&amp;Documenti!A302)</f>
        <v/>
      </c>
      <c r="D899" s="0" t="str">
        <f aca="false">IF(B899="","",Documenti!B302)</f>
        <v/>
      </c>
      <c r="E899" s="0" t="str">
        <f aca="false">IF(B899="","","Documento")</f>
        <v/>
      </c>
      <c r="F899" s="0" t="str">
        <f aca="true">IF(B899="","",IF(B899&lt;TODAY(),B899+ROW()/100000,""))</f>
        <v/>
      </c>
    </row>
    <row r="900" customFormat="false" ht="15" hidden="false" customHeight="false" outlineLevel="0" collapsed="false">
      <c r="A900" s="0" t="str">
        <f aca="true">IF(B900="","",IF(B900&gt;=TODAY(),B900+ROW()/100000,""))</f>
        <v/>
      </c>
      <c r="B900" s="0" t="str">
        <f aca="false">IF(Documenti!C303="","",IF(Documenti!D303&lt;=90,Documenti!C303,""))</f>
        <v/>
      </c>
      <c r="C900" s="0" t="str">
        <f aca="false">IF(B900="","","Rinnovo · "&amp;Documenti!A303)</f>
        <v/>
      </c>
      <c r="D900" s="0" t="str">
        <f aca="false">IF(B900="","",Documenti!B303)</f>
        <v/>
      </c>
      <c r="E900" s="0" t="str">
        <f aca="false">IF(B900="","","Documento")</f>
        <v/>
      </c>
      <c r="F900" s="0" t="str">
        <f aca="true">IF(B900="","",IF(B900&lt;TODAY(),B900+ROW()/100000,""))</f>
        <v/>
      </c>
    </row>
    <row r="901" customFormat="false" ht="15" hidden="false" customHeight="false" outlineLevel="0" collapsed="false">
      <c r="A901" s="0" t="str">
        <f aca="true">IF(B901="","",IF(B901&gt;=TODAY(),B901+ROW()/100000,""))</f>
        <v/>
      </c>
      <c r="B901" s="0" t="str">
        <f aca="false">IF(Documenti!C304="","",IF(Documenti!D304&lt;=90,Documenti!C304,""))</f>
        <v/>
      </c>
      <c r="C901" s="0" t="str">
        <f aca="false">IF(B901="","","Rinnovo · "&amp;Documenti!A304)</f>
        <v/>
      </c>
      <c r="D901" s="0" t="str">
        <f aca="false">IF(B901="","",Documenti!B304)</f>
        <v/>
      </c>
      <c r="E901" s="0" t="str">
        <f aca="false">IF(B901="","","Documento")</f>
        <v/>
      </c>
      <c r="F901" s="0" t="str">
        <f aca="true">IF(B901="","",IF(B901&lt;TODAY(),B901+ROW()/100000,""))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2026-10-18T08:09:58Z</dcterms:created>
  <dc:creator>Serena</dc:creator>
  <dc:description/>
  <dc:language>en-US</dc:language>
  <cp:lastModifiedBy/>
  <dcterms:modified xsi:type="dcterms:W3CDTF">2026-10-18T08:09:59Z</dcterms:modified>
  <cp:revision>0</cp:revision>
  <dc:subject/>
  <dc:title>Il gestionale di famiglia · serenainmente.it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